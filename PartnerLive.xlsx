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man\Desktop\Whatsapp-Bot\"/>
    </mc:Choice>
  </mc:AlternateContent>
  <xr:revisionPtr revIDLastSave="0" documentId="13_ncr:1_{6B3BD5B8-581A-4976-97E5-611CF08EFA5F}" xr6:coauthVersionLast="47" xr6:coauthVersionMax="47" xr10:uidLastSave="{00000000-0000-0000-0000-000000000000}"/>
  <bookViews>
    <workbookView xWindow="-120" yWindow="-120" windowWidth="29040" windowHeight="15720" activeTab="1" xr2:uid="{C75BA36E-5054-45D2-A98B-6C894BB3EF59}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1" hidden="1">Sheet2!$A$1:$J$251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6" i="2" l="1"/>
  <c r="I162" i="2"/>
  <c r="I182" i="2"/>
  <c r="I217" i="2"/>
  <c r="I249" i="2"/>
  <c r="H6" i="2"/>
  <c r="H7" i="2"/>
  <c r="H8" i="2"/>
  <c r="H10" i="2"/>
  <c r="H17" i="2"/>
  <c r="H21" i="2"/>
  <c r="H39" i="2"/>
  <c r="H40" i="2"/>
  <c r="H72" i="2"/>
  <c r="H81" i="2"/>
  <c r="H89" i="2"/>
  <c r="H92" i="2"/>
  <c r="H94" i="2"/>
  <c r="H96" i="2"/>
  <c r="H104" i="2"/>
  <c r="H106" i="2"/>
  <c r="H114" i="2"/>
  <c r="H132" i="2"/>
  <c r="H134" i="2"/>
  <c r="H135" i="2"/>
  <c r="H153" i="2"/>
  <c r="H159" i="2"/>
  <c r="H162" i="2"/>
  <c r="H164" i="2"/>
  <c r="H174" i="2"/>
  <c r="H177" i="2"/>
  <c r="H178" i="2"/>
  <c r="H182" i="2"/>
  <c r="H185" i="2"/>
  <c r="H188" i="2"/>
  <c r="H192" i="2"/>
  <c r="H197" i="2"/>
  <c r="H203" i="2"/>
  <c r="H207" i="2"/>
  <c r="H208" i="2"/>
  <c r="H213" i="2"/>
  <c r="H215" i="2"/>
  <c r="H216" i="2"/>
  <c r="H217" i="2"/>
  <c r="H229" i="2"/>
  <c r="H233" i="2"/>
  <c r="H234" i="2"/>
  <c r="H237" i="2"/>
  <c r="H238" i="2"/>
  <c r="H242" i="2"/>
  <c r="H245" i="2"/>
  <c r="H247" i="2"/>
  <c r="H249" i="2"/>
  <c r="H250" i="2"/>
  <c r="C6" i="2"/>
  <c r="C7" i="2"/>
  <c r="C8" i="2"/>
  <c r="C10" i="2"/>
  <c r="C17" i="2"/>
  <c r="C21" i="2"/>
  <c r="C39" i="2"/>
  <c r="C40" i="2"/>
  <c r="C72" i="2"/>
  <c r="C81" i="2"/>
  <c r="C89" i="2"/>
  <c r="C92" i="2"/>
  <c r="C94" i="2"/>
  <c r="C96" i="2"/>
  <c r="C104" i="2"/>
  <c r="C106" i="2"/>
  <c r="C114" i="2"/>
  <c r="C132" i="2"/>
  <c r="C134" i="2"/>
  <c r="C135" i="2"/>
  <c r="C153" i="2"/>
  <c r="C159" i="2"/>
  <c r="C162" i="2"/>
  <c r="C164" i="2"/>
  <c r="C174" i="2"/>
  <c r="C177" i="2"/>
  <c r="C178" i="2"/>
  <c r="C182" i="2"/>
  <c r="C185" i="2"/>
  <c r="C188" i="2"/>
  <c r="C192" i="2"/>
  <c r="C197" i="2"/>
  <c r="C203" i="2"/>
  <c r="C207" i="2"/>
  <c r="C208" i="2"/>
  <c r="C213" i="2"/>
  <c r="C215" i="2"/>
  <c r="C216" i="2"/>
  <c r="C217" i="2"/>
  <c r="C229" i="2"/>
  <c r="C233" i="2"/>
  <c r="C234" i="2"/>
  <c r="C237" i="2"/>
  <c r="C238" i="2"/>
  <c r="C242" i="2"/>
  <c r="C245" i="2"/>
  <c r="C247" i="2"/>
  <c r="C249" i="2"/>
  <c r="C250" i="2"/>
</calcChain>
</file>

<file path=xl/sharedStrings.xml><?xml version="1.0" encoding="utf-8"?>
<sst xmlns="http://schemas.openxmlformats.org/spreadsheetml/2006/main" count="1018" uniqueCount="481">
  <si>
    <t>Partner_ID</t>
  </si>
  <si>
    <t>Company_Name</t>
  </si>
  <si>
    <t>NAC-MIT COMPUTER</t>
  </si>
  <si>
    <t>ABC NETWORK</t>
  </si>
  <si>
    <t>AAROHI SERVICES</t>
  </si>
  <si>
    <t>S S Enterprises</t>
  </si>
  <si>
    <t>LOKESH BHAGAT</t>
  </si>
  <si>
    <t>M/S D.P.S Communication</t>
  </si>
  <si>
    <t>Angwali Digital Centre</t>
  </si>
  <si>
    <t>Maruti Cable</t>
  </si>
  <si>
    <t>Himanshu Kumar</t>
  </si>
  <si>
    <t>VIJAY CABLE NETWORK</t>
  </si>
  <si>
    <t>Tech Services</t>
  </si>
  <si>
    <t>Sharwan Kumar Sharma</t>
  </si>
  <si>
    <t>Sky Star Broadband</t>
  </si>
  <si>
    <t>Laddo Enterprises</t>
  </si>
  <si>
    <t>Mira Bhakat</t>
  </si>
  <si>
    <t>Absar Enterprises</t>
  </si>
  <si>
    <t>Prashanta Kumar Acharjee</t>
  </si>
  <si>
    <t>Sourya Enterprises</t>
  </si>
  <si>
    <t>Vir Cable Network</t>
  </si>
  <si>
    <t>Digital Broadband Network</t>
  </si>
  <si>
    <t>The Joy Creation</t>
  </si>
  <si>
    <t>Bandana Ghosh</t>
  </si>
  <si>
    <t>Anurag Net</t>
  </si>
  <si>
    <t>Ramesh Kumar</t>
  </si>
  <si>
    <t>Perfect Cable</t>
  </si>
  <si>
    <t>M/s Chowdhury Enterprises</t>
  </si>
  <si>
    <t>Shri Hari Enterprises</t>
  </si>
  <si>
    <t>Dipika Enterprises</t>
  </si>
  <si>
    <t>Ridhima Cable And Internet Service</t>
  </si>
  <si>
    <t>Shri Ram It Solution</t>
  </si>
  <si>
    <t>Gurudev Cyber Cafe</t>
  </si>
  <si>
    <t>Maa Tara Cable Network</t>
  </si>
  <si>
    <t>M/s Manoj Kumar Singh</t>
  </si>
  <si>
    <t>Rajsha It And Ites Pvt Ltd OPC</t>
  </si>
  <si>
    <t>Raj Kumar Chouhan</t>
  </si>
  <si>
    <t>Pradip Broadband</t>
  </si>
  <si>
    <t>M/S Baba Enterprises</t>
  </si>
  <si>
    <t>Aradhya Communication</t>
  </si>
  <si>
    <t>Pankaj Rajak Cable</t>
  </si>
  <si>
    <t>Md Tausif Ahmad</t>
  </si>
  <si>
    <t>Parmanand Mahto</t>
  </si>
  <si>
    <t>Vidya Sagar Prasad</t>
  </si>
  <si>
    <t>BISHWAJIT DUTTA</t>
  </si>
  <si>
    <t>Shri Ram Kumar</t>
  </si>
  <si>
    <t>RAJ ENTERPRISES</t>
  </si>
  <si>
    <t>Pawan Cable Network</t>
  </si>
  <si>
    <t>New Star Vision</t>
  </si>
  <si>
    <t>Mr Broadband &amp; Cable Network</t>
  </si>
  <si>
    <t>Sarveshree Enterprises</t>
  </si>
  <si>
    <t>Kiran Digital</t>
  </si>
  <si>
    <t>R K D Complete IT Solution</t>
  </si>
  <si>
    <t>M/s Ram Pravesh Yadab</t>
  </si>
  <si>
    <t>Ram Sundar Lohra</t>
  </si>
  <si>
    <t>One Link Communication</t>
  </si>
  <si>
    <t>World Digital Network</t>
  </si>
  <si>
    <t>S.Net Digital Broadband</t>
  </si>
  <si>
    <t>Aditya Network Link</t>
  </si>
  <si>
    <t>JVP informatics &amp; Engineering</t>
  </si>
  <si>
    <t>Big Space</t>
  </si>
  <si>
    <t>Raj Cable Net</t>
  </si>
  <si>
    <t>Supernet Communication</t>
  </si>
  <si>
    <t>LINK CABLE</t>
  </si>
  <si>
    <t>M/S Ajay Yadav</t>
  </si>
  <si>
    <t>Kitchen Garden</t>
  </si>
  <si>
    <t>Star Vision Cable Network</t>
  </si>
  <si>
    <t>M/S Keshri Electronics</t>
  </si>
  <si>
    <t>Puja Kumari</t>
  </si>
  <si>
    <t>R P Cable</t>
  </si>
  <si>
    <t>Amit Kumar Gupta</t>
  </si>
  <si>
    <t>Pankaj Kumar Pathak</t>
  </si>
  <si>
    <t>Anil Kumar</t>
  </si>
  <si>
    <t>Balendra Kumar</t>
  </si>
  <si>
    <t>B R Enterprises</t>
  </si>
  <si>
    <t>Moon Cable Network</t>
  </si>
  <si>
    <t>Shree Balajee Digital Entertainment</t>
  </si>
  <si>
    <t>Ckp Fiber Network</t>
  </si>
  <si>
    <t>M/S Suvojit Roy</t>
  </si>
  <si>
    <t>Sunny Salil Kujur</t>
  </si>
  <si>
    <t>Rai Enterprises</t>
  </si>
  <si>
    <t>Star Light Cable</t>
  </si>
  <si>
    <t>Sai Cable</t>
  </si>
  <si>
    <t>Ankita Jaiswal</t>
  </si>
  <si>
    <t>Raj Communication</t>
  </si>
  <si>
    <t>Shree Enterprises</t>
  </si>
  <si>
    <t>Moksh Aurum Internet And Services</t>
  </si>
  <si>
    <t>Sunil Kumar Mahato</t>
  </si>
  <si>
    <t>Abhishek Sinha</t>
  </si>
  <si>
    <t>Star Link vision</t>
  </si>
  <si>
    <t>Madhuri Cable Network</t>
  </si>
  <si>
    <t>Shankar Cable Network</t>
  </si>
  <si>
    <t>J V Cable Net</t>
  </si>
  <si>
    <t>Santosh Kumar</t>
  </si>
  <si>
    <t>S.M. Traders</t>
  </si>
  <si>
    <t>Parimal Karmakar</t>
  </si>
  <si>
    <t>Mamta Kumari Singh</t>
  </si>
  <si>
    <t>M/s Ajay Beldar</t>
  </si>
  <si>
    <t>Rohin Kumar Ganguly</t>
  </si>
  <si>
    <t>Dugda Cable Network</t>
  </si>
  <si>
    <t>M/s Mahesh Prasad</t>
  </si>
  <si>
    <t>Navin Cable Network</t>
  </si>
  <si>
    <t>Barhi Cable Service</t>
  </si>
  <si>
    <t>Mahavir Cable Network</t>
  </si>
  <si>
    <t>OM SHANTI COMMUNICATIONS</t>
  </si>
  <si>
    <t>Pintu Cable Network</t>
  </si>
  <si>
    <t>TV LIVE ADVERTISMENT AND ENTERTAINMENT NETWORK</t>
  </si>
  <si>
    <t>Sheelpa Cable Network</t>
  </si>
  <si>
    <t>Marshal Hansda</t>
  </si>
  <si>
    <t>Dinesh Prasad Lal</t>
  </si>
  <si>
    <t>Bhadani Tele Cable</t>
  </si>
  <si>
    <t>Plus Cable</t>
  </si>
  <si>
    <t>Dev Narayan Nayak</t>
  </si>
  <si>
    <t>Yogesh Prasad</t>
  </si>
  <si>
    <t>Shivam Cable Network</t>
  </si>
  <si>
    <t>M/S Rajesh Kumar Singh</t>
  </si>
  <si>
    <t>Shree Sai Network</t>
  </si>
  <si>
    <t>Mohd Ashad Ayub</t>
  </si>
  <si>
    <t>Madhusudhan Manna</t>
  </si>
  <si>
    <t>S S Cable Network</t>
  </si>
  <si>
    <t>Harleen Network</t>
  </si>
  <si>
    <t>Digibiz</t>
  </si>
  <si>
    <t>Durga Charan Mahto</t>
  </si>
  <si>
    <t>Indu Devi</t>
  </si>
  <si>
    <t>Maa Kali Cable Network</t>
  </si>
  <si>
    <t>Suraj Kumar</t>
  </si>
  <si>
    <t>Raj Kumar Mahato</t>
  </si>
  <si>
    <t>Abdul Rab</t>
  </si>
  <si>
    <t>Anuska Network</t>
  </si>
  <si>
    <t>Manoj Karmakar</t>
  </si>
  <si>
    <t>Brish Kumar Singh</t>
  </si>
  <si>
    <t>Sony Sky Vision</t>
  </si>
  <si>
    <t>Mohammad Samsuddin Ansari</t>
  </si>
  <si>
    <t>M/s Chotu Cable Network</t>
  </si>
  <si>
    <t>M/s Dhurub Cable Network</t>
  </si>
  <si>
    <t>Dizital Cable Network</t>
  </si>
  <si>
    <t>M/S Bandana Ghosh</t>
  </si>
  <si>
    <t>Computer World Service Center</t>
  </si>
  <si>
    <t>Arun Kumar Ojha</t>
  </si>
  <si>
    <t>Sri Devesh Kumar</t>
  </si>
  <si>
    <t>Chandra Dev Kumar</t>
  </si>
  <si>
    <t>Hemraj Mahto</t>
  </si>
  <si>
    <t>Raj Kumar</t>
  </si>
  <si>
    <t>Surendra Kumar</t>
  </si>
  <si>
    <t>Saaiqa Tech</t>
  </si>
  <si>
    <t>Saeesta Parwin</t>
  </si>
  <si>
    <t>SCANSOFT</t>
  </si>
  <si>
    <t>M/s Lovers Cable</t>
  </si>
  <si>
    <t>Khushboo Cable Net Work</t>
  </si>
  <si>
    <t>Jitendra Kumar Sah</t>
  </si>
  <si>
    <t>PERFECT NETWORK</t>
  </si>
  <si>
    <t>M/S J K Cable Network</t>
  </si>
  <si>
    <t>Yesh Cable Network</t>
  </si>
  <si>
    <t>Gaytri Sahu</t>
  </si>
  <si>
    <t>M/s Manoj Kumar Rao</t>
  </si>
  <si>
    <t>SKY NETWORK</t>
  </si>
  <si>
    <t>M/S Shardambha Enterprises</t>
  </si>
  <si>
    <t>BGS Technologies</t>
  </si>
  <si>
    <t>M/S Manju Devi</t>
  </si>
  <si>
    <t>Syncevo Technologies Private Limited</t>
  </si>
  <si>
    <t>Shivguru Communication</t>
  </si>
  <si>
    <t>Ratna Cable and Internet Service</t>
  </si>
  <si>
    <t>M/s Sky Line Services</t>
  </si>
  <si>
    <t>Satya Ranjan Bhakat</t>
  </si>
  <si>
    <t>New Generation IT Service</t>
  </si>
  <si>
    <t>M/S MD Nurul Islam</t>
  </si>
  <si>
    <t>M/S JAISWAL VISION</t>
  </si>
  <si>
    <t>Metro Cable</t>
  </si>
  <si>
    <t>Gurjeet Singh</t>
  </si>
  <si>
    <t>BIRSA BROADBAND SERVICE PVT LTD</t>
  </si>
  <si>
    <t>Guru Nanak Cable Network [Jarangdih]</t>
  </si>
  <si>
    <t>M/S Durga Cable Network</t>
  </si>
  <si>
    <t>Gitesh Cable Network</t>
  </si>
  <si>
    <t>CAT Vision Network</t>
  </si>
  <si>
    <t>MICROPOINT COMPUTER</t>
  </si>
  <si>
    <t>Shaligram Jaycee [Tatisilwai]</t>
  </si>
  <si>
    <t>Computer Point</t>
  </si>
  <si>
    <t>M/s Chauhan Cable</t>
  </si>
  <si>
    <t>Durga Enterprises</t>
  </si>
  <si>
    <t>Basudev Services</t>
  </si>
  <si>
    <t>Bhola Nath Prasad Roy</t>
  </si>
  <si>
    <t>Friend Cable Service</t>
  </si>
  <si>
    <t>Hari Om Cable Network</t>
  </si>
  <si>
    <t>Satendra Singh</t>
  </si>
  <si>
    <t>Joy Guru Network</t>
  </si>
  <si>
    <t>ADITYA CABLE</t>
  </si>
  <si>
    <t>Anil Kumar Gope</t>
  </si>
  <si>
    <t>M/s Navoneel Cable TV Network</t>
  </si>
  <si>
    <t>M/s Kashinath Chaudhary</t>
  </si>
  <si>
    <t>Star Cine World</t>
  </si>
  <si>
    <t>Moksh Broadband Services LLP</t>
  </si>
  <si>
    <t>M/s Universal Network Service</t>
  </si>
  <si>
    <t>M/s Ravi Kumar</t>
  </si>
  <si>
    <t>Vishal Cable Network</t>
  </si>
  <si>
    <t>Sanjay Cable Network</t>
  </si>
  <si>
    <t>A Z Infotech</t>
  </si>
  <si>
    <t>M/s Kunal Entertainment Network</t>
  </si>
  <si>
    <t>Rekha Singh</t>
  </si>
  <si>
    <t>M/s Siddhi Vinayak Cable.Net</t>
  </si>
  <si>
    <t>M/s Sanjay Kumar</t>
  </si>
  <si>
    <t>Modern Cable</t>
  </si>
  <si>
    <t>Pintoo Kumar Mahto</t>
  </si>
  <si>
    <t>Sri OM Prakash</t>
  </si>
  <si>
    <t>M/s Dharmendra Kumar Mishra</t>
  </si>
  <si>
    <t>M/s Mata Rani Enterprises</t>
  </si>
  <si>
    <t>Satellite Cable Service Network</t>
  </si>
  <si>
    <t>New Army Welfare Cable Network</t>
  </si>
  <si>
    <t>Globnet Communication</t>
  </si>
  <si>
    <t>Sri Pawan Kumar</t>
  </si>
  <si>
    <t>MD Cable Network</t>
  </si>
  <si>
    <t>Tapan Sen</t>
  </si>
  <si>
    <t>Katras Cable Network</t>
  </si>
  <si>
    <t>MANABENDRA DATTA</t>
  </si>
  <si>
    <t>B K Enterprises</t>
  </si>
  <si>
    <t>Universal Network</t>
  </si>
  <si>
    <t>Sanjay Karmakar</t>
  </si>
  <si>
    <t>Sharma Cable</t>
  </si>
  <si>
    <t>M/s Chandrika Rajak</t>
  </si>
  <si>
    <t>Jharkhand City Cable Network</t>
  </si>
  <si>
    <t>Yamuna Enterprises</t>
  </si>
  <si>
    <t>Sanjay Kumar</t>
  </si>
  <si>
    <t>Baridih International Cable Network</t>
  </si>
  <si>
    <t>Manju Srivaastava</t>
  </si>
  <si>
    <t>Zoom Boom Cable</t>
  </si>
  <si>
    <t>Sai Communication</t>
  </si>
  <si>
    <t>BBC Cable Network</t>
  </si>
  <si>
    <t>Dubey Digital Cable</t>
  </si>
  <si>
    <t>OM Shakti Network</t>
  </si>
  <si>
    <t>M/s Indus Cable</t>
  </si>
  <si>
    <t>Vinayak Groups</t>
  </si>
  <si>
    <t>Amar Singh</t>
  </si>
  <si>
    <t>Maithon Cable</t>
  </si>
  <si>
    <t>PEE CEE Cable Network</t>
  </si>
  <si>
    <t>Meraj Uddin Khan</t>
  </si>
  <si>
    <t>R S Network</t>
  </si>
  <si>
    <t>Kankam Ravi Raju</t>
  </si>
  <si>
    <t>Global Network</t>
  </si>
  <si>
    <t>BOB Communications</t>
  </si>
  <si>
    <t>JOYDEEP MUKHERJEE</t>
  </si>
  <si>
    <t>MANAS KUMAR OJHA</t>
  </si>
  <si>
    <t>JVP Informatics [Tatisilwai]</t>
  </si>
  <si>
    <t>CKP DIGITAL NETWORK</t>
  </si>
  <si>
    <t>XTREME INFOCOM</t>
  </si>
  <si>
    <t>BAIDYANATH SERVICES</t>
  </si>
  <si>
    <t>Speed 5 Cable BroadBand Service</t>
  </si>
  <si>
    <t>PHILIPS TECHNOLOGIES INDIA</t>
  </si>
  <si>
    <t>MAA TARA INFOTECH</t>
  </si>
  <si>
    <t>M/s GLOBNET TELECOM PVT LTD</t>
  </si>
  <si>
    <t>MAYA CABLE CENTER</t>
  </si>
  <si>
    <t>PERFECT VISION NETWORK</t>
  </si>
  <si>
    <t>M/s MAYA CABLE CENTRE (Sahebganj)</t>
  </si>
  <si>
    <t>PRIME DIGI NETWORK</t>
  </si>
  <si>
    <t>IT SERVICES</t>
  </si>
  <si>
    <t>M/s Arun Kumar Gorai</t>
  </si>
  <si>
    <t>NAC MIT COMPUTERS</t>
  </si>
  <si>
    <t>SKY INFOCOM</t>
  </si>
  <si>
    <t>Partner ID</t>
  </si>
  <si>
    <t>Partner Company Name</t>
  </si>
  <si>
    <t>Contact Name</t>
  </si>
  <si>
    <t>Contact No</t>
  </si>
  <si>
    <t>Stack VLAN</t>
  </si>
  <si>
    <t>Customer VLAN</t>
  </si>
  <si>
    <t>BNG</t>
  </si>
  <si>
    <t>Mr Ankit Kumar</t>
  </si>
  <si>
    <t>172.31.33.70</t>
  </si>
  <si>
    <t>Sunil Kumar</t>
  </si>
  <si>
    <t>Mr Himanshu Kumar</t>
  </si>
  <si>
    <t>172.31.31.69</t>
  </si>
  <si>
    <t>VIJAY SINGH</t>
  </si>
  <si>
    <t>Shiv Ratan Singh</t>
  </si>
  <si>
    <t>172.31.33.69</t>
  </si>
  <si>
    <t>172.31.32.64</t>
  </si>
  <si>
    <t>Sanjay Kumar Singh</t>
  </si>
  <si>
    <t>Niraj Kumar</t>
  </si>
  <si>
    <t>Md Mobassarul Islam</t>
  </si>
  <si>
    <t>Mr Prashanta Kumar Acharjee</t>
  </si>
  <si>
    <t>Jitendra Kumar Singh</t>
  </si>
  <si>
    <t>Sujeet Kumar Mishra</t>
  </si>
  <si>
    <t>Ms Sohagi Devi</t>
  </si>
  <si>
    <t>Mr Chandan Kumar</t>
  </si>
  <si>
    <t>Gopi Nath Haldar</t>
  </si>
  <si>
    <t>Mr Ramesh Kumar</t>
  </si>
  <si>
    <t>Ankit Kumar</t>
  </si>
  <si>
    <t>Sangeeta Chowdhury</t>
  </si>
  <si>
    <t>Dharmendra Singh Yadav</t>
  </si>
  <si>
    <t>Bhola Ram Kranti</t>
  </si>
  <si>
    <t>Binod Kumar Raut</t>
  </si>
  <si>
    <t>Himanshu Dubey</t>
  </si>
  <si>
    <t>Ravindra Kumar Das</t>
  </si>
  <si>
    <t>Jayant Kumar Gorai</t>
  </si>
  <si>
    <t>Manoj Kumar Singh</t>
  </si>
  <si>
    <t>Shankar Shaw</t>
  </si>
  <si>
    <t>Pradip Kumar Saw</t>
  </si>
  <si>
    <t>Damodar Prasad Sahu</t>
  </si>
  <si>
    <t>Mr Vijay Kumar Mahto</t>
  </si>
  <si>
    <t>Ms Babita Devi</t>
  </si>
  <si>
    <t>Mr  Pankaj Rajak</t>
  </si>
  <si>
    <t>Mr Parmanand Mahto</t>
  </si>
  <si>
    <t>Mr Vidya Sagar Prasad</t>
  </si>
  <si>
    <t>Mr  Bishwajit Dutta</t>
  </si>
  <si>
    <t>SANJAY KUMAR</t>
  </si>
  <si>
    <t>Pawan Kumar Ram</t>
  </si>
  <si>
    <t>Shambhu Ranjan</t>
  </si>
  <si>
    <t>Roshan Kumar Nand</t>
  </si>
  <si>
    <t>Mr Saurabh Kumar</t>
  </si>
  <si>
    <t>Daya Shankar</t>
  </si>
  <si>
    <t>Mr  Ram Pravesh Yadav</t>
  </si>
  <si>
    <t>Mr Ram Sundar Lohra</t>
  </si>
  <si>
    <t>Vivek Ranjan</t>
  </si>
  <si>
    <t>Sujit Kumar Dutta</t>
  </si>
  <si>
    <t>Mr Alok Kumar Panjiyara</t>
  </si>
  <si>
    <t>Aditya Kumar Sen</t>
  </si>
  <si>
    <t>Mr Shubham Ravi</t>
  </si>
  <si>
    <t>Mr Ahsan Ali</t>
  </si>
  <si>
    <t>Mr Rajesh Kumar</t>
  </si>
  <si>
    <t>Md  Shakil Ahmad</t>
  </si>
  <si>
    <t>Eline Roy</t>
  </si>
  <si>
    <t>Mr Ajay Yadav</t>
  </si>
  <si>
    <t>Mr Ritesh Kumar</t>
  </si>
  <si>
    <t>Mr Umesh Kumar Mondal</t>
  </si>
  <si>
    <t>Mr Anil Keshri</t>
  </si>
  <si>
    <t>Mr Ram Prawesh Yadav</t>
  </si>
  <si>
    <t>Mr Amit Kumar Gupta</t>
  </si>
  <si>
    <t>Mr Pankaj Kumar Pathak</t>
  </si>
  <si>
    <t>Mr Anil Kumar</t>
  </si>
  <si>
    <t>Mr Balendra Kumar</t>
  </si>
  <si>
    <t>Mr Basant Ram</t>
  </si>
  <si>
    <t>Ms  Rina Saha</t>
  </si>
  <si>
    <t>Mr Praveen Kumar</t>
  </si>
  <si>
    <t>Mr Bulu Tanti</t>
  </si>
  <si>
    <t>Suvojit Roy</t>
  </si>
  <si>
    <t>Mr Uma Shankar Rai</t>
  </si>
  <si>
    <t>Mr Dilshad Ansari</t>
  </si>
  <si>
    <t>Ms  Tara Devi</t>
  </si>
  <si>
    <t>Mr Rupesh Kumar</t>
  </si>
  <si>
    <t>Somnath Sen Gupta</t>
  </si>
  <si>
    <t>Ms  Barnali Mitra</t>
  </si>
  <si>
    <t>Mr Abhishek Sinha</t>
  </si>
  <si>
    <t>Rajesh Choubey</t>
  </si>
  <si>
    <t>Ms  Manisha Singh</t>
  </si>
  <si>
    <t>Mr Shankar Bhagaat</t>
  </si>
  <si>
    <t>Mr Laxmi Shankar Pandey</t>
  </si>
  <si>
    <t>Mr Mukesh Kumar Jalan</t>
  </si>
  <si>
    <t>Mr Ajay Beldar</t>
  </si>
  <si>
    <t>Mr Rohin Kumar Ganguly</t>
  </si>
  <si>
    <t>Mrs Laxmi Devi</t>
  </si>
  <si>
    <t>Mr  Mahesh Prasad</t>
  </si>
  <si>
    <t>Mr Navin Kumar</t>
  </si>
  <si>
    <t>Mr Afroj Khan</t>
  </si>
  <si>
    <t>Mahabir Prajapati</t>
  </si>
  <si>
    <t>PRAMOD KUMAR SINGH</t>
  </si>
  <si>
    <t>Pintu Agarwal</t>
  </si>
  <si>
    <t>MANOJ KUMAR</t>
  </si>
  <si>
    <t>Jaideo Kumar Rawani</t>
  </si>
  <si>
    <t>Mr Marshal Hansda</t>
  </si>
  <si>
    <t>Mr  Dinesh Prasad Lal</t>
  </si>
  <si>
    <t>Ashok Bhadani</t>
  </si>
  <si>
    <t>Manjeet Kumar</t>
  </si>
  <si>
    <t>Mr Dev Narayan Nayak</t>
  </si>
  <si>
    <t>Sujit Kumar Singh</t>
  </si>
  <si>
    <t>Rajesh Kumar Singh</t>
  </si>
  <si>
    <t>Sandeep Kr Mishra</t>
  </si>
  <si>
    <t>Mr Mohd Ashad Ayub</t>
  </si>
  <si>
    <t>Mr Madhusudhan Manna</t>
  </si>
  <si>
    <t>Sanjay Kumar Rawani</t>
  </si>
  <si>
    <t>Kripal Singh</t>
  </si>
  <si>
    <t>Kanak Singh</t>
  </si>
  <si>
    <t>Mr  Durga Charan Mahto</t>
  </si>
  <si>
    <t>Ms Indu Devi</t>
  </si>
  <si>
    <t>Mr Dinesh Mahato</t>
  </si>
  <si>
    <t>Mr Raj Kumar Mahato</t>
  </si>
  <si>
    <t>Mr Abdul Rab</t>
  </si>
  <si>
    <t>Raja Pradhan</t>
  </si>
  <si>
    <t>Mr Brish Kumar Singh</t>
  </si>
  <si>
    <t>Md Samsuddin Ansari</t>
  </si>
  <si>
    <t>Mohammod Samsuddin Ansari</t>
  </si>
  <si>
    <t>Mr  Md Ashik</t>
  </si>
  <si>
    <t>Dhurub Rajak</t>
  </si>
  <si>
    <t>Ms  Bandana Ghosh</t>
  </si>
  <si>
    <t>Md Irshad Ahmad</t>
  </si>
  <si>
    <t>Mr Arun Kumar Ojha</t>
  </si>
  <si>
    <t>Mr Devesh Kumar</t>
  </si>
  <si>
    <t>Mr  Chandra Dev Kumar</t>
  </si>
  <si>
    <t>Mr Raj Kumar</t>
  </si>
  <si>
    <t>Mr Surendra Kumar</t>
  </si>
  <si>
    <t>Sarafraz Khan</t>
  </si>
  <si>
    <t>Ms  Saeesta Parwin</t>
  </si>
  <si>
    <t>Bibhash Chandra Tiwary</t>
  </si>
  <si>
    <t>Iftekhar Taj Subhani</t>
  </si>
  <si>
    <t>Ms  Rajanti Devi</t>
  </si>
  <si>
    <t>Mr Jitendra Kumar Sah</t>
  </si>
  <si>
    <t>Subir Mazumdar</t>
  </si>
  <si>
    <t>Mr  Jitendra Kumar</t>
  </si>
  <si>
    <t>Mr Dipak Kumar</t>
  </si>
  <si>
    <t>Manoj Kumar Rao</t>
  </si>
  <si>
    <t>Bhart Kumar Bakshi</t>
  </si>
  <si>
    <t>Saroj Kumar Singh</t>
  </si>
  <si>
    <t>Nitesh Sharma</t>
  </si>
  <si>
    <t>Manju Devi</t>
  </si>
  <si>
    <t>Mr  Vikram Kumar</t>
  </si>
  <si>
    <t>Satyanaryan Kumar</t>
  </si>
  <si>
    <t>Ms Ratnalekha Mandal</t>
  </si>
  <si>
    <t>Ram Krishna</t>
  </si>
  <si>
    <t>Mr Tofail Haque</t>
  </si>
  <si>
    <t>MD Nurul Islam</t>
  </si>
  <si>
    <t>GOPAL PRASAD JAISWAL</t>
  </si>
  <si>
    <t>Ms Sushila Singh</t>
  </si>
  <si>
    <t>Mr Amar Sinha</t>
  </si>
  <si>
    <t>Baljeet Singh</t>
  </si>
  <si>
    <t>Durga Sahu</t>
  </si>
  <si>
    <t>Gitesh Kumar Singh</t>
  </si>
  <si>
    <t>Shahnawazul Haque</t>
  </si>
  <si>
    <t>Pranaw Kumar Pandey</t>
  </si>
  <si>
    <t>Shaligram Jaycee</t>
  </si>
  <si>
    <t>Arvind Kumar Chaubey</t>
  </si>
  <si>
    <t>Mr  Kamlesh Singh</t>
  </si>
  <si>
    <t>Manish Sharma</t>
  </si>
  <si>
    <t>Mr  Kuleshwar Bhuia</t>
  </si>
  <si>
    <t>Harish Taunk</t>
  </si>
  <si>
    <t>Mr Satendra Singh</t>
  </si>
  <si>
    <t>Mr  Raja Dey</t>
  </si>
  <si>
    <t>MADHAV KRISHNA JHA</t>
  </si>
  <si>
    <t>Vinay Kumar Singh</t>
  </si>
  <si>
    <t>Kashinath Chaudhary</t>
  </si>
  <si>
    <t>Mr Amarjeet Kumar</t>
  </si>
  <si>
    <t>Mrs Rekha Mishra</t>
  </si>
  <si>
    <t>Mr Sanjeev Singh</t>
  </si>
  <si>
    <t>Ravi Kumar</t>
  </si>
  <si>
    <t>Manoj Kumar Kar</t>
  </si>
  <si>
    <t>Syed Mohammad Raza</t>
  </si>
  <si>
    <t>Mr  Kaushal Kumar Pandey</t>
  </si>
  <si>
    <t>Sunil Kumar Paswan</t>
  </si>
  <si>
    <t>Mr Prabhat Kumar</t>
  </si>
  <si>
    <t>OM Prakash</t>
  </si>
  <si>
    <t>Dharmendra Kumar Mishra</t>
  </si>
  <si>
    <t>Mr  Punit Pathak</t>
  </si>
  <si>
    <t>Lalan Prasad Verma</t>
  </si>
  <si>
    <t>Mr Pankaj Kumar Agrawal</t>
  </si>
  <si>
    <t>Mujahid Ansari</t>
  </si>
  <si>
    <t>Mr Pawan Kumar</t>
  </si>
  <si>
    <t>Musharrat Nihar</t>
  </si>
  <si>
    <t>Pradip Kumar Gupta</t>
  </si>
  <si>
    <t>Manabendra Datta</t>
  </si>
  <si>
    <t>Bijendra Singh</t>
  </si>
  <si>
    <t>Mr Vijay Kumar Sharma</t>
  </si>
  <si>
    <t>Mr  Krishna Sharma</t>
  </si>
  <si>
    <t>Chandrika Rajak</t>
  </si>
  <si>
    <t>Ashok Kumar</t>
  </si>
  <si>
    <t>Jitender Singh Yadav</t>
  </si>
  <si>
    <t>Sajeev Kumar Jha</t>
  </si>
  <si>
    <t>Ranjan Kumar</t>
  </si>
  <si>
    <t>Muktesh Ghosh</t>
  </si>
  <si>
    <t>Pramila Devi</t>
  </si>
  <si>
    <t>Vinay Kumar Dubey</t>
  </si>
  <si>
    <t>Mr  Arun Kumar</t>
  </si>
  <si>
    <t>Mr  Alok Kumar</t>
  </si>
  <si>
    <t>Raj Kumar Bhadani</t>
  </si>
  <si>
    <t>Manoj Kumar Yadav</t>
  </si>
  <si>
    <t xml:space="preserve">Amitabh Mitra  Jaba Mitra </t>
  </si>
  <si>
    <t>Rajender Singh</t>
  </si>
  <si>
    <t>Vivek Kumar Singh</t>
  </si>
  <si>
    <t>Mohmmad Imran</t>
  </si>
  <si>
    <t>Joydeep Mukherjee</t>
  </si>
  <si>
    <t>Manas Kumar Ojha</t>
  </si>
  <si>
    <t>Shruti Ravi</t>
  </si>
  <si>
    <t>DEEPAK KUMAR SINGH</t>
  </si>
  <si>
    <t>DHIRAJ KUMAR SINGH</t>
  </si>
  <si>
    <t>Santosh Singh</t>
  </si>
  <si>
    <t>Prashant Kumar</t>
  </si>
  <si>
    <t>Mr  Prince Phillips</t>
  </si>
  <si>
    <t>Mr  ASHIM KUMAR DUTTA</t>
  </si>
  <si>
    <t>Somnath Dubey</t>
  </si>
  <si>
    <t>Manoj Kumar Haldar</t>
  </si>
  <si>
    <t>SARFARAZ KHAN</t>
  </si>
  <si>
    <t>ANURAG RAI</t>
  </si>
  <si>
    <t>Arun Kumar Gorai</t>
  </si>
  <si>
    <t>MR SHAMBHU THAKUR</t>
  </si>
  <si>
    <t>AKHILESH KUMAR</t>
  </si>
  <si>
    <t>JH Code</t>
  </si>
  <si>
    <t>Primary Port</t>
  </si>
  <si>
    <t>Backup 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</si>
</sst>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an/Downloads/Tata%20Zone%20-%20Updated%2025-08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Tatanagar"/>
    </sheetNames>
    <sheetDataSet>
      <sheetData sheetId="0"/>
      <sheetData sheetId="1">
        <row r="1">
          <cell r="E1" t="str">
            <v>ANP_ID</v>
          </cell>
          <cell r="F1" t="str">
            <v>Company_Name</v>
          </cell>
          <cell r="G1" t="str">
            <v>Contact_Name</v>
          </cell>
          <cell r="H1" t="str">
            <v>ANP Contact_Number</v>
          </cell>
          <cell r="I1" t="str">
            <v>Subscriber Count</v>
          </cell>
          <cell r="J1" t="str">
            <v>JH Code</v>
          </cell>
          <cell r="K1" t="str">
            <v>BNG</v>
          </cell>
          <cell r="L1" t="str">
            <v>Stack VLAN</v>
          </cell>
          <cell r="M1" t="str">
            <v>Customer VLAN</v>
          </cell>
          <cell r="N1" t="str">
            <v>Primary Link</v>
          </cell>
          <cell r="O1" t="str">
            <v>Backup Link (If any)</v>
          </cell>
        </row>
        <row r="2">
          <cell r="E2">
            <v>3768733861</v>
          </cell>
          <cell r="F2" t="str">
            <v>Bishwajit Dutta</v>
          </cell>
          <cell r="G2" t="str">
            <v>Mr Bishwajit Dutta</v>
          </cell>
          <cell r="H2">
            <v>9279279633</v>
          </cell>
          <cell r="I2">
            <v>96</v>
          </cell>
          <cell r="J2" t="str">
            <v>jh.bdg</v>
          </cell>
          <cell r="K2" t="str">
            <v>172.31.32.64</v>
          </cell>
          <cell r="L2">
            <v>844</v>
          </cell>
          <cell r="M2">
            <v>3963</v>
          </cell>
          <cell r="N2" t="str">
            <v>Ghatsila Switch Port no. 6, Switch IP: 173.17.158.228</v>
          </cell>
          <cell r="O2"/>
        </row>
        <row r="3">
          <cell r="E3">
            <v>5594680250</v>
          </cell>
          <cell r="F3" t="str">
            <v>Shri Ram Kumar</v>
          </cell>
          <cell r="G3" t="str">
            <v>Shri Ram Kumar</v>
          </cell>
          <cell r="H3">
            <v>9934354608</v>
          </cell>
          <cell r="I3">
            <v>30</v>
          </cell>
          <cell r="J3" t="str">
            <v>jh.sri.aditi</v>
          </cell>
          <cell r="K3" t="str">
            <v>172.31.32.64</v>
          </cell>
          <cell r="L3">
            <v>4011</v>
          </cell>
          <cell r="M3">
            <v>3901</v>
          </cell>
          <cell r="N3" t="str">
            <v>TATA RailTel POP Switch Port no. 16</v>
          </cell>
          <cell r="O3"/>
        </row>
        <row r="4">
          <cell r="E4">
            <v>8727464701</v>
          </cell>
          <cell r="F4" t="str">
            <v>Ckp Fiber Network</v>
          </cell>
          <cell r="G4" t="str">
            <v>Mr Bulu Tanti</v>
          </cell>
          <cell r="H4">
            <v>9142397454</v>
          </cell>
          <cell r="I4">
            <v>70</v>
          </cell>
          <cell r="J4" t="str">
            <v>jh.cfn / jh.ckp</v>
          </cell>
          <cell r="K4" t="str">
            <v>172.31.33.69</v>
          </cell>
          <cell r="L4">
            <v>886</v>
          </cell>
          <cell r="M4">
            <v>3189</v>
          </cell>
          <cell r="N4" t="str">
            <v>Chakradharpur (CKP) BB Switch Port no. 4</v>
          </cell>
          <cell r="O4"/>
        </row>
        <row r="5">
          <cell r="E5">
            <v>7082474913</v>
          </cell>
          <cell r="F5" t="str">
            <v>Mamta Kumari Singh</v>
          </cell>
          <cell r="G5" t="str">
            <v>Mamta Kumari Singh</v>
          </cell>
          <cell r="H5">
            <v>8825101052</v>
          </cell>
          <cell r="I5">
            <v>51</v>
          </cell>
          <cell r="J5" t="str">
            <v>jh.mks</v>
          </cell>
          <cell r="K5" t="str">
            <v>172.31.32.64</v>
          </cell>
          <cell r="L5">
            <v>4011</v>
          </cell>
          <cell r="M5">
            <v>3279</v>
          </cell>
          <cell r="N5" t="str">
            <v>TATA RailTel POP Switch Port no. 25</v>
          </cell>
          <cell r="O5"/>
        </row>
        <row r="6">
          <cell r="E6">
            <v>8248798216</v>
          </cell>
          <cell r="F6" t="str">
            <v>M/S Mahesh Prasad</v>
          </cell>
          <cell r="G6" t="str">
            <v>Mr Mahesh Prasad</v>
          </cell>
          <cell r="H6">
            <v>8340226346</v>
          </cell>
          <cell r="I6">
            <v>182</v>
          </cell>
          <cell r="J6" t="str">
            <v>jh.mpk/ jh.mkp</v>
          </cell>
          <cell r="K6" t="str">
            <v>172.31.32.64</v>
          </cell>
          <cell r="L6">
            <v>4011</v>
          </cell>
          <cell r="M6">
            <v>3279</v>
          </cell>
          <cell r="N6" t="str">
            <v>TATA DSW Switch Port no. 11, Switch IP: 10.255.255.2</v>
          </cell>
          <cell r="O6" t="str">
            <v>AGNP Switch Pratik Infotech</v>
          </cell>
        </row>
        <row r="7">
          <cell r="E7">
            <v>8628931596</v>
          </cell>
          <cell r="F7" t="str">
            <v>Marshal Hansda</v>
          </cell>
          <cell r="G7" t="str">
            <v>Mr Marshal Hansda</v>
          </cell>
          <cell r="H7">
            <v>9709020161</v>
          </cell>
          <cell r="I7">
            <v>32</v>
          </cell>
          <cell r="J7" t="str">
            <v>jh.mhk</v>
          </cell>
          <cell r="K7" t="str">
            <v>172.31.33.69</v>
          </cell>
          <cell r="L7">
            <v>832</v>
          </cell>
          <cell r="M7">
            <v>3235</v>
          </cell>
          <cell r="N7" t="str">
            <v>KKPR OLT Port no. 6</v>
          </cell>
          <cell r="O7"/>
        </row>
        <row r="8">
          <cell r="E8">
            <v>6248928254</v>
          </cell>
          <cell r="F8" t="str">
            <v>Madhusudhan Manna</v>
          </cell>
          <cell r="G8" t="str">
            <v>Mr Madhusudhan Manna</v>
          </cell>
          <cell r="H8">
            <v>9431524700</v>
          </cell>
          <cell r="I8">
            <v>4</v>
          </cell>
          <cell r="J8" t="str">
            <v>jh.mdh</v>
          </cell>
          <cell r="K8" t="str">
            <v>172.31.32.64</v>
          </cell>
          <cell r="L8">
            <v>4011</v>
          </cell>
          <cell r="M8">
            <v>3244</v>
          </cell>
          <cell r="N8" t="str">
            <v>AGNP Switch Pratik Infotech</v>
          </cell>
          <cell r="O8"/>
        </row>
        <row r="9">
          <cell r="E9">
            <v>6552296833</v>
          </cell>
          <cell r="F9" t="str">
            <v>Arun Kumar Ojha</v>
          </cell>
          <cell r="G9" t="str">
            <v>Mr Arun Kumar Ojha</v>
          </cell>
          <cell r="H9">
            <v>7061206453</v>
          </cell>
          <cell r="I9">
            <v>238</v>
          </cell>
          <cell r="J9" t="str">
            <v>jh.ako / jh.akoj</v>
          </cell>
          <cell r="K9" t="str">
            <v>172.31.32.64</v>
          </cell>
          <cell r="L9">
            <v>4011</v>
          </cell>
          <cell r="M9">
            <v>3941</v>
          </cell>
          <cell r="N9" t="str">
            <v>AGNP Switch Pratik Infotech</v>
          </cell>
          <cell r="O9"/>
        </row>
        <row r="10">
          <cell r="E10">
            <v>7028026567</v>
          </cell>
          <cell r="F10" t="str">
            <v>Sri Devesh Kumar</v>
          </cell>
          <cell r="G10" t="str">
            <v>Mr Devesh Kumar</v>
          </cell>
          <cell r="H10">
            <v>7903646019</v>
          </cell>
          <cell r="I10">
            <v>62</v>
          </cell>
          <cell r="J10" t="str">
            <v>jh.dev</v>
          </cell>
          <cell r="K10" t="str">
            <v>172.31.32.64</v>
          </cell>
          <cell r="L10">
            <v>811</v>
          </cell>
          <cell r="M10">
            <v>3848</v>
          </cell>
          <cell r="N10" t="str">
            <v>TATA D-Link Switch Port no. 13</v>
          </cell>
          <cell r="O10"/>
        </row>
        <row r="11">
          <cell r="E11">
            <v>4897744570</v>
          </cell>
          <cell r="F11" t="str">
            <v>Satya Ranjan Bhakat</v>
          </cell>
          <cell r="G11" t="str">
            <v>Satya Ranjan Bhakat</v>
          </cell>
          <cell r="H11">
            <v>9031781786</v>
          </cell>
          <cell r="I11">
            <v>86</v>
          </cell>
          <cell r="J11" t="str">
            <v>jh.mbt</v>
          </cell>
          <cell r="K11" t="str">
            <v>172.31.32.64</v>
          </cell>
          <cell r="L11">
            <v>844</v>
          </cell>
          <cell r="M11">
            <v>3964</v>
          </cell>
          <cell r="N11" t="str">
            <v>RHE Switch Port no. 4</v>
          </cell>
          <cell r="O11"/>
        </row>
        <row r="12">
          <cell r="E12">
            <v>3062655981</v>
          </cell>
          <cell r="F12" t="str">
            <v>M/S Jaiswal Vision</v>
          </cell>
          <cell r="G12" t="str">
            <v>Gopal Prasad Jaiswal</v>
          </cell>
          <cell r="H12">
            <v>9334651478</v>
          </cell>
          <cell r="I12">
            <v>575</v>
          </cell>
          <cell r="J12" t="str">
            <v>jh.jvs</v>
          </cell>
          <cell r="K12" t="str">
            <v>172.31.32.64</v>
          </cell>
          <cell r="L12">
            <v>4011</v>
          </cell>
          <cell r="M12">
            <v>3871</v>
          </cell>
          <cell r="N12" t="str">
            <v>TATA Switch 10G Port no. 26</v>
          </cell>
          <cell r="O12" t="str">
            <v>AGNP Switch Pratik Infotech</v>
          </cell>
        </row>
        <row r="13">
          <cell r="E13">
            <v>6656211665</v>
          </cell>
          <cell r="F13" t="str">
            <v>Hari Om Cable Network</v>
          </cell>
          <cell r="G13" t="str">
            <v>Harish Taunk</v>
          </cell>
          <cell r="H13">
            <v>9431542996</v>
          </cell>
          <cell r="I13">
            <v>3</v>
          </cell>
          <cell r="J13" t="str">
            <v>jh.hoc</v>
          </cell>
          <cell r="K13" t="str">
            <v>172.31.32.64</v>
          </cell>
          <cell r="L13">
            <v>844</v>
          </cell>
          <cell r="M13">
            <v>3904</v>
          </cell>
          <cell r="N13" t="str">
            <v>CKU OLT Port no. 5 &gt;&gt; Need to shift OLT to SWITCH Port no. 10</v>
          </cell>
          <cell r="O13"/>
        </row>
        <row r="14">
          <cell r="E14">
            <v>1441026587</v>
          </cell>
          <cell r="F14" t="str">
            <v>Satendra Singh</v>
          </cell>
          <cell r="G14" t="str">
            <v>Mr Satendra Singh</v>
          </cell>
          <cell r="H14">
            <v>9570662555</v>
          </cell>
          <cell r="I14">
            <v>181</v>
          </cell>
          <cell r="J14" t="str">
            <v>jh.ssp</v>
          </cell>
          <cell r="K14" t="str">
            <v>172.31.32.64</v>
          </cell>
          <cell r="L14">
            <v>4011</v>
          </cell>
          <cell r="M14">
            <v>3834</v>
          </cell>
          <cell r="N14" t="str">
            <v>AGNP Switch Pratik Infotech</v>
          </cell>
          <cell r="O14"/>
        </row>
        <row r="15">
          <cell r="E15">
            <v>1297877629</v>
          </cell>
          <cell r="F15" t="str">
            <v>Vishal Cable Network</v>
          </cell>
          <cell r="G15" t="str">
            <v>Manoj Kumar Kar</v>
          </cell>
          <cell r="H15">
            <v>9801238353</v>
          </cell>
          <cell r="I15">
            <v>81</v>
          </cell>
          <cell r="J15" t="str">
            <v>jh.vcn</v>
          </cell>
          <cell r="K15" t="str">
            <v>172.31.32.64</v>
          </cell>
          <cell r="L15">
            <v>844</v>
          </cell>
          <cell r="M15">
            <v>3903</v>
          </cell>
          <cell r="N15" t="str">
            <v>Ghatsila D-Link Switch Port no. 8</v>
          </cell>
          <cell r="O15"/>
        </row>
        <row r="16">
          <cell r="E16">
            <v>2897042119</v>
          </cell>
          <cell r="F16" t="str">
            <v>Rekha Singh</v>
          </cell>
          <cell r="G16" t="str">
            <v>Rekha Singh</v>
          </cell>
          <cell r="H16">
            <v>9431381731</v>
          </cell>
          <cell r="I16">
            <v>3</v>
          </cell>
          <cell r="J16" t="str">
            <v>jh.rsj</v>
          </cell>
          <cell r="K16" t="str">
            <v>172.31.32.64</v>
          </cell>
          <cell r="L16">
            <v>4011</v>
          </cell>
          <cell r="M16">
            <v>3887</v>
          </cell>
          <cell r="N16" t="str">
            <v>AGNP Switch Pratik Infotech</v>
          </cell>
          <cell r="O16"/>
        </row>
        <row r="17">
          <cell r="E17">
            <v>7619094759</v>
          </cell>
          <cell r="F17" t="str">
            <v>Sri Om Prakash</v>
          </cell>
          <cell r="G17" t="str">
            <v>Om Prakash</v>
          </cell>
          <cell r="H17">
            <v>9534463285</v>
          </cell>
          <cell r="I17">
            <v>12</v>
          </cell>
          <cell r="J17" t="str">
            <v>jh.op</v>
          </cell>
          <cell r="K17" t="str">
            <v>172.31.32.64</v>
          </cell>
          <cell r="L17">
            <v>844</v>
          </cell>
          <cell r="M17">
            <v>3902</v>
          </cell>
          <cell r="N17" t="str">
            <v>Ghatsila D-Link Switch Port no. 5</v>
          </cell>
          <cell r="O17"/>
        </row>
        <row r="18">
          <cell r="E18">
            <v>6459548335</v>
          </cell>
          <cell r="F18" t="str">
            <v>Sri Pawan Kumar</v>
          </cell>
          <cell r="G18" t="str">
            <v>Mr Pawan Kumar</v>
          </cell>
          <cell r="H18">
            <v>9334800378</v>
          </cell>
          <cell r="I18">
            <v>10</v>
          </cell>
          <cell r="J18" t="str">
            <v>jh.pkj</v>
          </cell>
          <cell r="K18" t="str">
            <v>172.31.32.64</v>
          </cell>
          <cell r="L18">
            <v>4011</v>
          </cell>
          <cell r="M18">
            <v>3892</v>
          </cell>
          <cell r="N18" t="str">
            <v>TATA Switch Port no. 9</v>
          </cell>
          <cell r="O18"/>
        </row>
        <row r="19">
          <cell r="E19">
            <v>6515115933</v>
          </cell>
          <cell r="F19" t="str">
            <v>Manabendra Datta</v>
          </cell>
          <cell r="G19" t="str">
            <v>Manabendra Datta</v>
          </cell>
          <cell r="H19">
            <v>9431347841</v>
          </cell>
          <cell r="I19">
            <v>26</v>
          </cell>
          <cell r="J19" t="str">
            <v>jh.mdg</v>
          </cell>
          <cell r="K19" t="str">
            <v>172.31.32.64</v>
          </cell>
          <cell r="L19">
            <v>844</v>
          </cell>
          <cell r="M19">
            <v>3965</v>
          </cell>
          <cell r="N19" t="str">
            <v>NEED TO FIND DETAILS</v>
          </cell>
          <cell r="O19"/>
        </row>
        <row r="20">
          <cell r="E20">
            <v>8679251621</v>
          </cell>
          <cell r="F20" t="str">
            <v>Sanjay Kumar</v>
          </cell>
          <cell r="G20" t="str">
            <v>Sanjay Kumar</v>
          </cell>
          <cell r="H20">
            <v>9334132334</v>
          </cell>
          <cell r="I20">
            <v>52</v>
          </cell>
          <cell r="J20" t="str">
            <v>jh.skc / jh.skcg</v>
          </cell>
          <cell r="K20" t="str">
            <v>172.31.32.64</v>
          </cell>
          <cell r="L20">
            <v>4011</v>
          </cell>
          <cell r="M20">
            <v>3901</v>
          </cell>
          <cell r="N20" t="str">
            <v>SALGAJODI EAST // Need to Find Details</v>
          </cell>
          <cell r="O20"/>
        </row>
        <row r="21">
          <cell r="E21">
            <v>1701531020</v>
          </cell>
          <cell r="F21" t="str">
            <v>Baridih International Cable Network</v>
          </cell>
          <cell r="G21" t="str">
            <v>Sajeev Kumar Jha</v>
          </cell>
          <cell r="H21">
            <v>9431349237</v>
          </cell>
          <cell r="I21">
            <v>215</v>
          </cell>
          <cell r="J21" t="str">
            <v>jh.bcin</v>
          </cell>
          <cell r="K21" t="str">
            <v>172.31.32.64</v>
          </cell>
          <cell r="L21">
            <v>4011</v>
          </cell>
          <cell r="M21">
            <v>3892</v>
          </cell>
          <cell r="N21" t="str">
            <v>Edge Core Switch Port no. 7</v>
          </cell>
          <cell r="O21"/>
        </row>
        <row r="22">
          <cell r="E22">
            <v>8933728890</v>
          </cell>
          <cell r="F22" t="str">
            <v>Manju Srivaastava</v>
          </cell>
          <cell r="G22" t="str">
            <v>Manju Srivaastava</v>
          </cell>
          <cell r="H22">
            <v>9431303185</v>
          </cell>
          <cell r="I22">
            <v>116</v>
          </cell>
          <cell r="J22" t="str">
            <v>jh.mr / jh.msj</v>
          </cell>
          <cell r="K22" t="str">
            <v>172.31.32.64</v>
          </cell>
          <cell r="L22">
            <v>4011</v>
          </cell>
          <cell r="M22">
            <v>3891</v>
          </cell>
          <cell r="N22" t="str">
            <v>DSW D-Link Port 9</v>
          </cell>
          <cell r="O22" t="str">
            <v>DSW D-Link Port no. 10</v>
          </cell>
        </row>
        <row r="23">
          <cell r="E23">
            <v>6526924620</v>
          </cell>
          <cell r="F23" t="str">
            <v>R S Network</v>
          </cell>
          <cell r="G23" t="str">
            <v>Rajender Singh</v>
          </cell>
          <cell r="H23">
            <v>9304910692</v>
          </cell>
          <cell r="I23">
            <v>80</v>
          </cell>
          <cell r="J23" t="str">
            <v>jh.rsg / jh.rsn</v>
          </cell>
          <cell r="K23" t="str">
            <v>172.31.32.64</v>
          </cell>
          <cell r="L23">
            <v>4011</v>
          </cell>
          <cell r="M23">
            <v>3833</v>
          </cell>
          <cell r="N23" t="str">
            <v>AGNP Switch Pratik Infotech</v>
          </cell>
          <cell r="O23"/>
        </row>
        <row r="24">
          <cell r="E24">
            <v>7027436764</v>
          </cell>
          <cell r="F24" t="str">
            <v>Joydeep Mukherjee</v>
          </cell>
          <cell r="G24" t="str">
            <v>Joydeep Mukherjee</v>
          </cell>
          <cell r="H24">
            <v>9835383715</v>
          </cell>
          <cell r="I24">
            <v>113</v>
          </cell>
          <cell r="J24" t="str">
            <v>jh.fth / jh.gts</v>
          </cell>
          <cell r="K24" t="str">
            <v>172.31.32.64</v>
          </cell>
          <cell r="L24">
            <v>844</v>
          </cell>
          <cell r="M24">
            <v>3964</v>
          </cell>
          <cell r="N24" t="str">
            <v>Ghatsila POP KMME Switch Port no. 3</v>
          </cell>
          <cell r="O24"/>
        </row>
        <row r="25">
          <cell r="E25">
            <v>6721148115</v>
          </cell>
          <cell r="F25" t="str">
            <v>Manas Kumar Ojha</v>
          </cell>
          <cell r="G25" t="str">
            <v>Manas Kumar Ojha</v>
          </cell>
          <cell r="H25">
            <v>9234757747</v>
          </cell>
          <cell r="I25">
            <v>96</v>
          </cell>
          <cell r="J25" t="str">
            <v>jh.mko</v>
          </cell>
          <cell r="K25" t="str">
            <v>172.31.32.64</v>
          </cell>
          <cell r="L25">
            <v>844</v>
          </cell>
          <cell r="M25">
            <v>3973</v>
          </cell>
          <cell r="N25" t="str">
            <v>CKP Switch Port no. 4</v>
          </cell>
          <cell r="O25"/>
        </row>
        <row r="26">
          <cell r="E26">
            <v>6858585919</v>
          </cell>
          <cell r="F26" t="str">
            <v>Ckp Digital Network</v>
          </cell>
          <cell r="G26" t="str">
            <v>Deepak Kumar Singh</v>
          </cell>
          <cell r="H26">
            <v>9386868951</v>
          </cell>
          <cell r="I26">
            <v>6</v>
          </cell>
          <cell r="J26" t="str">
            <v>jh.ckp</v>
          </cell>
          <cell r="K26" t="str">
            <v>172.31.33.69</v>
          </cell>
          <cell r="L26">
            <v>886</v>
          </cell>
          <cell r="M26">
            <v>128</v>
          </cell>
          <cell r="N26" t="str">
            <v>CKP Switch Port no. 7</v>
          </cell>
          <cell r="O26"/>
        </row>
        <row r="27">
          <cell r="E27">
            <v>4022426323</v>
          </cell>
          <cell r="F27" t="str">
            <v>Xtreme Infocom</v>
          </cell>
          <cell r="G27" t="str">
            <v>Dhiraj Kumar Singh</v>
          </cell>
          <cell r="H27">
            <v>9308545721</v>
          </cell>
          <cell r="I27">
            <v>73</v>
          </cell>
          <cell r="J27" t="str">
            <v>jh.xig</v>
          </cell>
          <cell r="K27" t="str">
            <v>172.31.32.64</v>
          </cell>
          <cell r="L27">
            <v>4011</v>
          </cell>
          <cell r="M27">
            <v>124</v>
          </cell>
          <cell r="N27" t="str">
            <v>SALGAJODI EAST // Need to Find Details</v>
          </cell>
          <cell r="O27"/>
        </row>
        <row r="28">
          <cell r="E28">
            <v>3990135391</v>
          </cell>
          <cell r="F28" t="str">
            <v>Maa Tara Infotech</v>
          </cell>
          <cell r="G28" t="str">
            <v>Mr Ashim Kumar Dutta</v>
          </cell>
          <cell r="H28">
            <v>9939185246</v>
          </cell>
          <cell r="I28">
            <v>65</v>
          </cell>
          <cell r="J28" t="str">
            <v>jh.mti</v>
          </cell>
          <cell r="K28" t="str">
            <v>172.31.32.64</v>
          </cell>
          <cell r="L28">
            <v>844</v>
          </cell>
          <cell r="M28">
            <v>119</v>
          </cell>
          <cell r="N28" t="str">
            <v>Ghatsila D-Link Port no. 3</v>
          </cell>
          <cell r="O28"/>
        </row>
        <row r="29">
          <cell r="E29">
            <v>1860839543</v>
          </cell>
          <cell r="F29" t="str">
            <v>M/S Arun Kumar Gorai</v>
          </cell>
          <cell r="G29" t="str">
            <v>Arun Kumar Gorai</v>
          </cell>
          <cell r="H29">
            <v>9204746016</v>
          </cell>
          <cell r="I29">
            <v>76</v>
          </cell>
          <cell r="J29" t="str">
            <v>jh.adg / jh.akg</v>
          </cell>
          <cell r="K29" t="str">
            <v>172.31.32.64</v>
          </cell>
          <cell r="L29">
            <v>844</v>
          </cell>
          <cell r="M29">
            <v>3994</v>
          </cell>
          <cell r="N29" t="str">
            <v>Dhalbhumgarh Switch Port no. 4</v>
          </cell>
          <cell r="O29" t="str">
            <v>Dhalbhumgarh Switch Port 5</v>
          </cell>
        </row>
        <row r="30">
          <cell r="E30">
            <v>4943636987</v>
          </cell>
          <cell r="F30" t="str">
            <v>Nac Mit Computers</v>
          </cell>
          <cell r="G30" t="str">
            <v>Mr Shambhu Thakur</v>
          </cell>
          <cell r="H30">
            <v>7870584019</v>
          </cell>
          <cell r="I30">
            <v>33</v>
          </cell>
          <cell r="J30" t="str">
            <v>jh.dhl</v>
          </cell>
          <cell r="K30" t="str">
            <v>172.31.33.69</v>
          </cell>
          <cell r="L30">
            <v>1285</v>
          </cell>
          <cell r="M30">
            <v>203</v>
          </cell>
          <cell r="N30" t="str">
            <v>DVM SW (172.17.249.52) Port no. 5</v>
          </cell>
          <cell r="O30"/>
        </row>
        <row r="31">
          <cell r="E31">
            <v>7020129892</v>
          </cell>
          <cell r="F31" t="str">
            <v>Tech Services</v>
          </cell>
          <cell r="G31" t="str">
            <v>Shiv Ratan Singh</v>
          </cell>
          <cell r="H31">
            <v>9661123131</v>
          </cell>
          <cell r="I31">
            <v>2</v>
          </cell>
          <cell r="J31" t="str">
            <v>jh.tech</v>
          </cell>
          <cell r="K31" t="str">
            <v>172.31.32.64</v>
          </cell>
          <cell r="L31">
            <v>4011</v>
          </cell>
          <cell r="M31">
            <v>3984</v>
          </cell>
          <cell r="N31" t="str">
            <v>MetaMorphic Port : Edge Core Switch Port no. 28</v>
          </cell>
          <cell r="O31"/>
        </row>
        <row r="32">
          <cell r="E32">
            <v>8297079998</v>
          </cell>
          <cell r="F32" t="str">
            <v>Sharwan Kumar Sharma</v>
          </cell>
          <cell r="G32" t="str">
            <v>Sharwan Kumar Sharma</v>
          </cell>
          <cell r="H32">
            <v>9835982099</v>
          </cell>
          <cell r="I32">
            <v>55</v>
          </cell>
          <cell r="J32" t="str">
            <v>jh.sks</v>
          </cell>
          <cell r="K32" t="str">
            <v>172.31.32.64</v>
          </cell>
          <cell r="L32">
            <v>844</v>
          </cell>
          <cell r="M32">
            <v>3149</v>
          </cell>
          <cell r="N32" t="str">
            <v>CKU BB Switch Port no. 5</v>
          </cell>
          <cell r="O32"/>
        </row>
        <row r="33">
          <cell r="E33">
            <v>3109998394</v>
          </cell>
          <cell r="F33" t="str">
            <v>Sky Star Broadband</v>
          </cell>
          <cell r="G33" t="str">
            <v>Sanjay Kumar Singh</v>
          </cell>
          <cell r="H33">
            <v>9430350350</v>
          </cell>
          <cell r="I33">
            <v>25</v>
          </cell>
          <cell r="J33" t="str">
            <v>jh.sky / jh.ssb</v>
          </cell>
          <cell r="K33" t="str">
            <v>172.31.32.64</v>
          </cell>
          <cell r="L33">
            <v>4011</v>
          </cell>
          <cell r="M33">
            <v>3103</v>
          </cell>
          <cell r="N33" t="str">
            <v>MetaMorphic Port : Edge Core Switch Port no. 28</v>
          </cell>
          <cell r="O33"/>
        </row>
        <row r="34">
          <cell r="E34">
            <v>1669467771</v>
          </cell>
          <cell r="F34" t="str">
            <v>M/S Chowdhury Enterprises</v>
          </cell>
          <cell r="G34" t="str">
            <v>Sangeeta Chowdhury</v>
          </cell>
          <cell r="H34">
            <v>8235278909</v>
          </cell>
          <cell r="I34">
            <v>37</v>
          </cell>
          <cell r="J34" t="str">
            <v>jh.ce</v>
          </cell>
          <cell r="K34" t="str">
            <v>172.31.32.64</v>
          </cell>
          <cell r="L34">
            <v>4011</v>
          </cell>
          <cell r="M34">
            <v>3832</v>
          </cell>
          <cell r="N34" t="str">
            <v>MetaMorphic Port : Edge Core Switch Port no. 28</v>
          </cell>
          <cell r="O34"/>
        </row>
        <row r="35">
          <cell r="E35">
            <v>6335045168</v>
          </cell>
          <cell r="F35" t="str">
            <v>Moksh Aurum Internet And Services</v>
          </cell>
          <cell r="G35" t="str">
            <v>Ms Barnali Mitra</v>
          </cell>
          <cell r="H35">
            <v>6207777925</v>
          </cell>
          <cell r="I35">
            <v>12</v>
          </cell>
          <cell r="J35" t="str">
            <v>jh.maiss</v>
          </cell>
          <cell r="K35" t="str">
            <v>172.31.33.70</v>
          </cell>
          <cell r="L35">
            <v>885</v>
          </cell>
          <cell r="M35">
            <v>3167</v>
          </cell>
          <cell r="N35" t="str">
            <v>SINI Switch Port no. 4</v>
          </cell>
          <cell r="O35"/>
        </row>
        <row r="36">
          <cell r="E36">
            <v>4805111999</v>
          </cell>
          <cell r="F36" t="str">
            <v>M/S Navoneel Cable Tv Network</v>
          </cell>
          <cell r="G36" t="str">
            <v>Vinay Kumar Singh</v>
          </cell>
          <cell r="H36">
            <v>8987745409</v>
          </cell>
          <cell r="I36">
            <v>48</v>
          </cell>
          <cell r="J36" t="str">
            <v>jh.nct</v>
          </cell>
          <cell r="K36" t="str">
            <v>172.31.32.64</v>
          </cell>
          <cell r="L36">
            <v>890</v>
          </cell>
          <cell r="M36">
            <v>3866</v>
          </cell>
          <cell r="N36" t="str">
            <v>MetaMorphic Port : Edge Core Switch Port no. 28</v>
          </cell>
          <cell r="O36" t="str">
            <v>MetaMorphic Port : Edge Core Switch Port no. 28</v>
          </cell>
        </row>
        <row r="37">
          <cell r="E37">
            <v>6443213937</v>
          </cell>
          <cell r="F37" t="str">
            <v>Moksh Broadband Services Llp</v>
          </cell>
          <cell r="G37" t="str">
            <v>Mrs Rekha Mishra</v>
          </cell>
          <cell r="H37">
            <v>9431117662</v>
          </cell>
          <cell r="I37">
            <v>141</v>
          </cell>
          <cell r="J37" t="str">
            <v>jh.mbsls</v>
          </cell>
          <cell r="K37" t="str">
            <v>172.31.32.64</v>
          </cell>
          <cell r="L37">
            <v>890</v>
          </cell>
          <cell r="M37">
            <v>131</v>
          </cell>
          <cell r="N37" t="str">
            <v>MetaMorphic Port : Edge Core Switch Port no. 28</v>
          </cell>
          <cell r="O37"/>
        </row>
        <row r="38">
          <cell r="E38">
            <v>5521898710</v>
          </cell>
          <cell r="F38" t="str">
            <v>B K Enterprises</v>
          </cell>
          <cell r="G38" t="str">
            <v>Bijendra Singh</v>
          </cell>
          <cell r="H38">
            <v>9110973607</v>
          </cell>
          <cell r="I38">
            <v>12</v>
          </cell>
          <cell r="J38" t="str">
            <v>jh.bke</v>
          </cell>
          <cell r="K38" t="str">
            <v>172.31.32.64</v>
          </cell>
          <cell r="L38">
            <v>4011</v>
          </cell>
          <cell r="M38">
            <v>3864</v>
          </cell>
          <cell r="N38" t="str">
            <v>TATA D-Link Switch Port no. 7</v>
          </cell>
          <cell r="O38"/>
        </row>
        <row r="39">
          <cell r="E39">
            <v>8422396538</v>
          </cell>
          <cell r="F39" t="str">
            <v>Jharkhand City Cable Network</v>
          </cell>
          <cell r="G39" t="str">
            <v>Ashok Kumar</v>
          </cell>
          <cell r="H39">
            <v>9431751638</v>
          </cell>
          <cell r="I39">
            <v>39</v>
          </cell>
          <cell r="J39" t="str">
            <v>jh.jccn</v>
          </cell>
          <cell r="K39" t="str">
            <v>172.31.32.64</v>
          </cell>
          <cell r="L39">
            <v>890</v>
          </cell>
          <cell r="M39">
            <v>3865</v>
          </cell>
          <cell r="N39" t="str">
            <v>NKE POP Switch Port no. 4</v>
          </cell>
          <cell r="O39"/>
        </row>
        <row r="40">
          <cell r="E40">
            <v>3687534280</v>
          </cell>
          <cell r="F40" t="str">
            <v>Santosh Kumar</v>
          </cell>
          <cell r="G40" t="str">
            <v>Santosh Kumar</v>
          </cell>
          <cell r="H40">
            <v>9234903988</v>
          </cell>
          <cell r="I40">
            <v>106</v>
          </cell>
          <cell r="J40" t="str">
            <v>jh.skc / jh.skcg</v>
          </cell>
          <cell r="K40" t="str">
            <v>172.31.32.64</v>
          </cell>
          <cell r="L40">
            <v>4011</v>
          </cell>
          <cell r="M40">
            <v>3801</v>
          </cell>
          <cell r="N40" t="str">
            <v>SALGAJODI EAST // Need to Find Details</v>
          </cell>
          <cell r="O40"/>
        </row>
        <row r="41">
          <cell r="E41">
            <v>1419823187</v>
          </cell>
          <cell r="F41" t="str">
            <v>Rohin Kumar Ganguly</v>
          </cell>
          <cell r="G41" t="str">
            <v>Mr Rohin Kumar Ganguly</v>
          </cell>
          <cell r="H41">
            <v>9931568322</v>
          </cell>
          <cell r="I41">
            <v>42</v>
          </cell>
          <cell r="J41" t="str">
            <v>jh.rgc</v>
          </cell>
          <cell r="K41" t="str">
            <v>172.31.32.64</v>
          </cell>
          <cell r="L41">
            <v>834</v>
          </cell>
          <cell r="M41">
            <v>3229</v>
          </cell>
          <cell r="N41" t="str">
            <v>Chandil JN OLT Port no. 6</v>
          </cell>
          <cell r="O41"/>
        </row>
        <row r="42">
          <cell r="E42">
            <v>6521196327</v>
          </cell>
          <cell r="F42" t="str">
            <v>Bgs Technologies</v>
          </cell>
          <cell r="G42" t="str">
            <v>Nitesh Sharma</v>
          </cell>
          <cell r="H42">
            <v>7903024617</v>
          </cell>
          <cell r="I42">
            <v>1</v>
          </cell>
          <cell r="J42" t="str">
            <v>jh.bgs</v>
          </cell>
          <cell r="K42" t="str">
            <v>172.31.32.64</v>
          </cell>
          <cell r="L42">
            <v>4011</v>
          </cell>
          <cell r="M42">
            <v>3911</v>
          </cell>
          <cell r="N42" t="str">
            <v>TATA Edge Core Port no. 15</v>
          </cell>
          <cell r="O42"/>
        </row>
        <row r="43">
          <cell r="E43">
            <v>2579484786</v>
          </cell>
          <cell r="F43" t="str">
            <v>Gurjeet Singh</v>
          </cell>
          <cell r="G43" t="str">
            <v>Gurjeet Singh</v>
          </cell>
          <cell r="H43">
            <v>7004312964</v>
          </cell>
          <cell r="I43">
            <v>49</v>
          </cell>
          <cell r="J43" t="str">
            <v>jh.gsg</v>
          </cell>
          <cell r="K43" t="str">
            <v>172.31.32.64</v>
          </cell>
          <cell r="L43">
            <v>4011</v>
          </cell>
          <cell r="M43">
            <v>3809</v>
          </cell>
          <cell r="N43" t="str">
            <v>TATA Edge Core Port no. 15</v>
          </cell>
          <cell r="O43"/>
        </row>
        <row r="44">
          <cell r="E44">
            <v>5952977070</v>
          </cell>
          <cell r="F44" t="str">
            <v>Basudev Services</v>
          </cell>
          <cell r="G44" t="str">
            <v>Manish Sharma</v>
          </cell>
          <cell r="H44">
            <v>8340585985</v>
          </cell>
          <cell r="I44">
            <v>176</v>
          </cell>
          <cell r="J44" t="str">
            <v>jh.bsj</v>
          </cell>
          <cell r="K44" t="str">
            <v>172.31.32.64</v>
          </cell>
          <cell r="L44">
            <v>4011</v>
          </cell>
          <cell r="M44">
            <v>3911</v>
          </cell>
          <cell r="N44" t="str">
            <v>TATA Edge Core Port no. 15</v>
          </cell>
          <cell r="O44"/>
        </row>
        <row r="45">
          <cell r="E45">
            <v>2009738585</v>
          </cell>
          <cell r="F45" t="str">
            <v>Mira Bhakat</v>
          </cell>
          <cell r="G45" t="str">
            <v>Mira Bhakat</v>
          </cell>
          <cell r="H45">
            <v>9234703171</v>
          </cell>
          <cell r="I45">
            <v>38</v>
          </cell>
          <cell r="J45" t="str">
            <v>jh.mbg / jh.mbt</v>
          </cell>
          <cell r="K45" t="str">
            <v>172.31.32.64</v>
          </cell>
          <cell r="L45">
            <v>844</v>
          </cell>
          <cell r="M45">
            <v>3964</v>
          </cell>
          <cell r="N45" t="str">
            <v>GHT BB Switch Port no. 12</v>
          </cell>
          <cell r="O45"/>
        </row>
        <row r="46">
          <cell r="E46">
            <v>1465726979</v>
          </cell>
          <cell r="F46" t="str">
            <v>Bandana Ghosh</v>
          </cell>
          <cell r="G46" t="str">
            <v>Bandana Ghosh</v>
          </cell>
          <cell r="H46">
            <v>9234703171</v>
          </cell>
          <cell r="I46">
            <v>56</v>
          </cell>
          <cell r="J46" t="str">
            <v>jh.bgc</v>
          </cell>
          <cell r="K46" t="str">
            <v>172.31.33.70</v>
          </cell>
          <cell r="L46">
            <v>889</v>
          </cell>
          <cell r="M46">
            <v>3868</v>
          </cell>
          <cell r="N46" t="str">
            <v>CKP PTN Port no. 1</v>
          </cell>
          <cell r="O46"/>
        </row>
        <row r="47">
          <cell r="E47">
            <v>7613699637</v>
          </cell>
          <cell r="F47" t="str">
            <v>Bhadani Tele Cable</v>
          </cell>
          <cell r="G47" t="str">
            <v>Ashok Bhadani</v>
          </cell>
          <cell r="H47">
            <v>8210791282</v>
          </cell>
          <cell r="I47">
            <v>103</v>
          </cell>
          <cell r="J47" t="str">
            <v>jh.btc</v>
          </cell>
          <cell r="K47" t="str">
            <v>172.31.32.64</v>
          </cell>
          <cell r="L47">
            <v>4011</v>
          </cell>
          <cell r="M47">
            <v>3992</v>
          </cell>
          <cell r="N47" t="str">
            <v>TATA D-Link Switch Port no. 17</v>
          </cell>
          <cell r="O47"/>
        </row>
        <row r="48">
          <cell r="E48">
            <v>3307724810</v>
          </cell>
          <cell r="F48" t="str">
            <v>M/S Bandana Ghosh</v>
          </cell>
          <cell r="G48" t="str">
            <v>Ms Bandana Ghosh</v>
          </cell>
          <cell r="H48">
            <v>7070192119</v>
          </cell>
          <cell r="I48">
            <v>86</v>
          </cell>
          <cell r="J48" t="str">
            <v>jh.bgc</v>
          </cell>
          <cell r="K48" t="str">
            <v>172.31.33.69</v>
          </cell>
          <cell r="L48">
            <v>886</v>
          </cell>
          <cell r="M48">
            <v>3985</v>
          </cell>
          <cell r="N48" t="str">
            <v>CBSA D-Link Switch Port no. 26</v>
          </cell>
          <cell r="O48"/>
        </row>
        <row r="49">
          <cell r="E49">
            <v>6642826490</v>
          </cell>
          <cell r="F49" t="str">
            <v>Perfect Vision Network</v>
          </cell>
          <cell r="G49" t="str">
            <v>Sarfaraz Khan</v>
          </cell>
          <cell r="H49">
            <v>8083832727</v>
          </cell>
          <cell r="I49">
            <v>148</v>
          </cell>
          <cell r="J49" t="str">
            <v>jh.pvn</v>
          </cell>
          <cell r="K49" t="str">
            <v>172.31.33.70</v>
          </cell>
          <cell r="L49">
            <v>889</v>
          </cell>
          <cell r="M49">
            <v>126</v>
          </cell>
          <cell r="N49" t="str">
            <v>Chaibasa FIB24/8</v>
          </cell>
          <cell r="O49"/>
        </row>
        <row r="50">
          <cell r="E50">
            <v>2389899098</v>
          </cell>
          <cell r="F50" t="str">
            <v>Prime Digi Network</v>
          </cell>
          <cell r="G50" t="str">
            <v>Anurag Rai</v>
          </cell>
          <cell r="H50">
            <v>7004246328</v>
          </cell>
          <cell r="I50">
            <v>467</v>
          </cell>
          <cell r="J50" t="str">
            <v>jh.pdnj</v>
          </cell>
          <cell r="K50" t="str">
            <v>172.31.32.64</v>
          </cell>
          <cell r="L50">
            <v>844</v>
          </cell>
          <cell r="M50">
            <v>133</v>
          </cell>
          <cell r="N50" t="str">
            <v>JADHUGORA Switch Port no. 28</v>
          </cell>
          <cell r="O50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82492-8B65-4331-A9B4-A2218C6E9264}">
  <dimension ref="A1:B257"/>
  <sheetViews>
    <sheetView topLeftCell="A249" workbookViewId="0">
      <selection activeCell="B249" sqref="B1:B1048576"/>
    </sheetView>
  </sheetViews>
  <sheetFormatPr defaultRowHeight="15" x14ac:dyDescent="0.25"/>
  <cols>
    <col min="1" max="1" width="21.42578125" customWidth="1"/>
    <col min="2" max="2" width="52.285156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1">
        <v>5950839426</v>
      </c>
      <c r="B2" s="1" t="s">
        <v>2</v>
      </c>
    </row>
    <row r="3" spans="1:2" x14ac:dyDescent="0.25">
      <c r="A3" s="1">
        <v>5283639869</v>
      </c>
      <c r="B3" s="1" t="s">
        <v>3</v>
      </c>
    </row>
    <row r="4" spans="1:2" x14ac:dyDescent="0.25">
      <c r="A4" s="1">
        <v>3474487439</v>
      </c>
      <c r="B4" s="1" t="s">
        <v>4</v>
      </c>
    </row>
    <row r="5" spans="1:2" x14ac:dyDescent="0.25">
      <c r="A5" s="1">
        <v>5570382470</v>
      </c>
      <c r="B5" s="1" t="s">
        <v>5</v>
      </c>
    </row>
    <row r="6" spans="1:2" x14ac:dyDescent="0.25">
      <c r="A6" s="1">
        <v>6834570680</v>
      </c>
      <c r="B6" s="1" t="s">
        <v>6</v>
      </c>
    </row>
    <row r="7" spans="1:2" x14ac:dyDescent="0.25">
      <c r="A7" s="1">
        <v>8915040349</v>
      </c>
      <c r="B7" s="1" t="s">
        <v>7</v>
      </c>
    </row>
    <row r="8" spans="1:2" x14ac:dyDescent="0.25">
      <c r="A8" s="1">
        <v>6863768803</v>
      </c>
      <c r="B8" s="1" t="s">
        <v>8</v>
      </c>
    </row>
    <row r="9" spans="1:2" x14ac:dyDescent="0.25">
      <c r="A9" s="1">
        <v>6917625957</v>
      </c>
      <c r="B9" s="1" t="s">
        <v>9</v>
      </c>
    </row>
    <row r="10" spans="1:2" x14ac:dyDescent="0.25">
      <c r="A10" s="1">
        <v>1859639165</v>
      </c>
      <c r="B10" s="1" t="s">
        <v>10</v>
      </c>
    </row>
    <row r="11" spans="1:2" x14ac:dyDescent="0.25">
      <c r="A11" s="1">
        <v>3796226153</v>
      </c>
      <c r="B11" s="1" t="s">
        <v>11</v>
      </c>
    </row>
    <row r="12" spans="1:2" x14ac:dyDescent="0.25">
      <c r="A12" s="1">
        <v>7020129892</v>
      </c>
      <c r="B12" s="1" t="s">
        <v>12</v>
      </c>
    </row>
    <row r="13" spans="1:2" x14ac:dyDescent="0.25">
      <c r="A13" s="1">
        <v>8297079998</v>
      </c>
      <c r="B13" s="1" t="s">
        <v>13</v>
      </c>
    </row>
    <row r="14" spans="1:2" x14ac:dyDescent="0.25">
      <c r="A14" s="1">
        <v>3109998394</v>
      </c>
      <c r="B14" s="1" t="s">
        <v>14</v>
      </c>
    </row>
    <row r="15" spans="1:2" x14ac:dyDescent="0.25">
      <c r="A15" s="1">
        <v>7479748437</v>
      </c>
      <c r="B15" s="1" t="s">
        <v>15</v>
      </c>
    </row>
    <row r="16" spans="1:2" x14ac:dyDescent="0.25">
      <c r="A16" s="1">
        <v>2009738585</v>
      </c>
      <c r="B16" s="1" t="s">
        <v>16</v>
      </c>
    </row>
    <row r="17" spans="1:2" x14ac:dyDescent="0.25">
      <c r="A17" s="1">
        <v>5585147179</v>
      </c>
      <c r="B17" s="1" t="s">
        <v>17</v>
      </c>
    </row>
    <row r="18" spans="1:2" x14ac:dyDescent="0.25">
      <c r="A18" s="1">
        <v>3968136340</v>
      </c>
      <c r="B18" s="1" t="s">
        <v>18</v>
      </c>
    </row>
    <row r="19" spans="1:2" x14ac:dyDescent="0.25">
      <c r="A19" s="1">
        <v>3833133537</v>
      </c>
      <c r="B19" s="1" t="s">
        <v>19</v>
      </c>
    </row>
    <row r="20" spans="1:2" x14ac:dyDescent="0.25">
      <c r="A20" s="1">
        <v>3643925307</v>
      </c>
      <c r="B20" s="1" t="s">
        <v>20</v>
      </c>
    </row>
    <row r="21" spans="1:2" x14ac:dyDescent="0.25">
      <c r="A21" s="1">
        <v>7230995846</v>
      </c>
      <c r="B21" s="1" t="s">
        <v>21</v>
      </c>
    </row>
    <row r="22" spans="1:2" x14ac:dyDescent="0.25">
      <c r="A22" s="1">
        <v>5611988257</v>
      </c>
      <c r="B22" s="1" t="s">
        <v>22</v>
      </c>
    </row>
    <row r="23" spans="1:2" x14ac:dyDescent="0.25">
      <c r="A23" s="1">
        <v>1465726979</v>
      </c>
      <c r="B23" s="1" t="s">
        <v>23</v>
      </c>
    </row>
    <row r="24" spans="1:2" x14ac:dyDescent="0.25">
      <c r="A24" s="1">
        <v>1517238512</v>
      </c>
      <c r="B24" s="1" t="s">
        <v>24</v>
      </c>
    </row>
    <row r="25" spans="1:2" x14ac:dyDescent="0.25">
      <c r="A25" s="1">
        <v>3552734030</v>
      </c>
      <c r="B25" s="1" t="s">
        <v>25</v>
      </c>
    </row>
    <row r="26" spans="1:2" x14ac:dyDescent="0.25">
      <c r="A26" s="1">
        <v>7451074474</v>
      </c>
      <c r="B26" s="1" t="s">
        <v>26</v>
      </c>
    </row>
    <row r="27" spans="1:2" x14ac:dyDescent="0.25">
      <c r="A27" s="1">
        <v>1669467771</v>
      </c>
      <c r="B27" s="1" t="s">
        <v>27</v>
      </c>
    </row>
    <row r="28" spans="1:2" x14ac:dyDescent="0.25">
      <c r="A28" s="1">
        <v>9027149675</v>
      </c>
      <c r="B28" s="1" t="s">
        <v>28</v>
      </c>
    </row>
    <row r="29" spans="1:2" x14ac:dyDescent="0.25">
      <c r="A29" s="1">
        <v>4769993708</v>
      </c>
      <c r="B29" s="1" t="s">
        <v>29</v>
      </c>
    </row>
    <row r="30" spans="1:2" x14ac:dyDescent="0.25">
      <c r="A30" s="1">
        <v>6773172299</v>
      </c>
      <c r="B30" s="1" t="s">
        <v>30</v>
      </c>
    </row>
    <row r="31" spans="1:2" x14ac:dyDescent="0.25">
      <c r="A31" s="1">
        <v>6681843167</v>
      </c>
      <c r="B31" s="1" t="s">
        <v>31</v>
      </c>
    </row>
    <row r="32" spans="1:2" x14ac:dyDescent="0.25">
      <c r="A32" s="1">
        <v>1524539357</v>
      </c>
      <c r="B32" s="1" t="s">
        <v>32</v>
      </c>
    </row>
    <row r="33" spans="1:2" x14ac:dyDescent="0.25">
      <c r="A33" s="1">
        <v>7039937781</v>
      </c>
      <c r="B33" s="1" t="s">
        <v>33</v>
      </c>
    </row>
    <row r="34" spans="1:2" x14ac:dyDescent="0.25">
      <c r="A34" s="1">
        <v>4222361504</v>
      </c>
      <c r="B34" s="1" t="s">
        <v>34</v>
      </c>
    </row>
    <row r="35" spans="1:2" x14ac:dyDescent="0.25">
      <c r="A35" s="1">
        <v>7403854611</v>
      </c>
      <c r="B35" s="1" t="s">
        <v>35</v>
      </c>
    </row>
    <row r="36" spans="1:2" x14ac:dyDescent="0.25">
      <c r="A36" s="1">
        <v>4015968403</v>
      </c>
      <c r="B36" s="1" t="s">
        <v>36</v>
      </c>
    </row>
    <row r="37" spans="1:2" x14ac:dyDescent="0.25">
      <c r="A37" s="1">
        <v>8288130097</v>
      </c>
      <c r="B37" s="1" t="s">
        <v>37</v>
      </c>
    </row>
    <row r="38" spans="1:2" x14ac:dyDescent="0.25">
      <c r="A38" s="1">
        <v>5345996909</v>
      </c>
      <c r="B38" s="1" t="s">
        <v>38</v>
      </c>
    </row>
    <row r="39" spans="1:2" x14ac:dyDescent="0.25">
      <c r="A39" s="1">
        <v>8202192895</v>
      </c>
      <c r="B39" s="1" t="s">
        <v>39</v>
      </c>
    </row>
    <row r="40" spans="1:2" x14ac:dyDescent="0.25">
      <c r="A40" s="1">
        <v>7701911603</v>
      </c>
      <c r="B40" s="1" t="s">
        <v>40</v>
      </c>
    </row>
    <row r="41" spans="1:2" x14ac:dyDescent="0.25">
      <c r="A41" s="1">
        <v>5340497735</v>
      </c>
      <c r="B41" s="1" t="s">
        <v>41</v>
      </c>
    </row>
    <row r="42" spans="1:2" x14ac:dyDescent="0.25">
      <c r="A42" s="1">
        <v>4627553372</v>
      </c>
      <c r="B42" s="1" t="s">
        <v>42</v>
      </c>
    </row>
    <row r="43" spans="1:2" x14ac:dyDescent="0.25">
      <c r="A43" s="1">
        <v>1206150772</v>
      </c>
      <c r="B43" s="1" t="s">
        <v>43</v>
      </c>
    </row>
    <row r="44" spans="1:2" x14ac:dyDescent="0.25">
      <c r="A44" s="1">
        <v>3768733861</v>
      </c>
      <c r="B44" s="1" t="s">
        <v>44</v>
      </c>
    </row>
    <row r="45" spans="1:2" x14ac:dyDescent="0.25">
      <c r="A45" s="1">
        <v>5594680250</v>
      </c>
      <c r="B45" s="1" t="s">
        <v>45</v>
      </c>
    </row>
    <row r="46" spans="1:2" x14ac:dyDescent="0.25">
      <c r="A46" s="1">
        <v>6845830570</v>
      </c>
      <c r="B46" s="1" t="s">
        <v>46</v>
      </c>
    </row>
    <row r="47" spans="1:2" x14ac:dyDescent="0.25">
      <c r="A47" s="1">
        <v>3913334537</v>
      </c>
      <c r="B47" s="1" t="s">
        <v>47</v>
      </c>
    </row>
    <row r="48" spans="1:2" x14ac:dyDescent="0.25">
      <c r="A48" s="1">
        <v>6669858999</v>
      </c>
      <c r="B48" s="1" t="s">
        <v>48</v>
      </c>
    </row>
    <row r="49" spans="1:2" x14ac:dyDescent="0.25">
      <c r="A49" s="1">
        <v>6933249503</v>
      </c>
      <c r="B49" s="1" t="s">
        <v>49</v>
      </c>
    </row>
    <row r="50" spans="1:2" x14ac:dyDescent="0.25">
      <c r="A50" s="1">
        <v>3332842006</v>
      </c>
      <c r="B50" s="1" t="s">
        <v>50</v>
      </c>
    </row>
    <row r="51" spans="1:2" x14ac:dyDescent="0.25">
      <c r="A51" s="1">
        <v>5380942201</v>
      </c>
      <c r="B51" s="1" t="s">
        <v>51</v>
      </c>
    </row>
    <row r="52" spans="1:2" x14ac:dyDescent="0.25">
      <c r="A52" s="1">
        <v>8309797193</v>
      </c>
      <c r="B52" s="1" t="s">
        <v>52</v>
      </c>
    </row>
    <row r="53" spans="1:2" x14ac:dyDescent="0.25">
      <c r="A53" s="1">
        <v>8683445897</v>
      </c>
      <c r="B53" s="1" t="s">
        <v>53</v>
      </c>
    </row>
    <row r="54" spans="1:2" x14ac:dyDescent="0.25">
      <c r="A54" s="1">
        <v>5396792463</v>
      </c>
      <c r="B54" s="1" t="s">
        <v>54</v>
      </c>
    </row>
    <row r="55" spans="1:2" x14ac:dyDescent="0.25">
      <c r="A55" s="1">
        <v>3675751664</v>
      </c>
      <c r="B55" s="1" t="s">
        <v>55</v>
      </c>
    </row>
    <row r="56" spans="1:2" x14ac:dyDescent="0.25">
      <c r="A56" s="1">
        <v>3423963007</v>
      </c>
      <c r="B56" s="1" t="s">
        <v>56</v>
      </c>
    </row>
    <row r="57" spans="1:2" x14ac:dyDescent="0.25">
      <c r="A57" s="1">
        <v>6666517538</v>
      </c>
      <c r="B57" s="1" t="s">
        <v>57</v>
      </c>
    </row>
    <row r="58" spans="1:2" x14ac:dyDescent="0.25">
      <c r="A58" s="1">
        <v>2537795461</v>
      </c>
      <c r="B58" s="1" t="s">
        <v>58</v>
      </c>
    </row>
    <row r="59" spans="1:2" x14ac:dyDescent="0.25">
      <c r="A59" s="1">
        <v>6369649510</v>
      </c>
      <c r="B59" s="1" t="s">
        <v>59</v>
      </c>
    </row>
    <row r="60" spans="1:2" x14ac:dyDescent="0.25">
      <c r="A60" s="1">
        <v>3990514466</v>
      </c>
      <c r="B60" s="1" t="s">
        <v>41</v>
      </c>
    </row>
    <row r="61" spans="1:2" x14ac:dyDescent="0.25">
      <c r="A61" s="1">
        <v>2462666533</v>
      </c>
      <c r="B61" s="1" t="s">
        <v>60</v>
      </c>
    </row>
    <row r="62" spans="1:2" x14ac:dyDescent="0.25">
      <c r="A62" s="1">
        <v>3405422707</v>
      </c>
      <c r="B62" s="1" t="s">
        <v>61</v>
      </c>
    </row>
    <row r="63" spans="1:2" x14ac:dyDescent="0.25">
      <c r="A63" s="1">
        <v>1121263937</v>
      </c>
      <c r="B63" s="1" t="s">
        <v>62</v>
      </c>
    </row>
    <row r="64" spans="1:2" x14ac:dyDescent="0.25">
      <c r="A64" s="1">
        <v>5909201840</v>
      </c>
      <c r="B64" s="1" t="s">
        <v>63</v>
      </c>
    </row>
    <row r="65" spans="1:2" x14ac:dyDescent="0.25">
      <c r="A65" s="1">
        <v>2221835971</v>
      </c>
      <c r="B65" s="1" t="s">
        <v>64</v>
      </c>
    </row>
    <row r="66" spans="1:2" x14ac:dyDescent="0.25">
      <c r="A66" s="1">
        <v>3460482331</v>
      </c>
      <c r="B66" s="1" t="s">
        <v>65</v>
      </c>
    </row>
    <row r="67" spans="1:2" x14ac:dyDescent="0.25">
      <c r="A67" s="1">
        <v>2952499748</v>
      </c>
      <c r="B67" s="1" t="s">
        <v>66</v>
      </c>
    </row>
    <row r="68" spans="1:2" x14ac:dyDescent="0.25">
      <c r="A68" s="1">
        <v>8932426014</v>
      </c>
      <c r="B68" s="1" t="s">
        <v>67</v>
      </c>
    </row>
    <row r="69" spans="1:2" x14ac:dyDescent="0.25">
      <c r="A69" s="1">
        <v>9054357395</v>
      </c>
      <c r="B69" s="1" t="s">
        <v>68</v>
      </c>
    </row>
    <row r="70" spans="1:2" x14ac:dyDescent="0.25">
      <c r="A70" s="1">
        <v>3160865300</v>
      </c>
      <c r="B70" s="1" t="s">
        <v>69</v>
      </c>
    </row>
    <row r="71" spans="1:2" x14ac:dyDescent="0.25">
      <c r="A71" s="1">
        <v>7331127189</v>
      </c>
      <c r="B71" s="1" t="s">
        <v>70</v>
      </c>
    </row>
    <row r="72" spans="1:2" x14ac:dyDescent="0.25">
      <c r="A72" s="1">
        <v>6861139517</v>
      </c>
      <c r="B72" s="1" t="s">
        <v>71</v>
      </c>
    </row>
    <row r="73" spans="1:2" x14ac:dyDescent="0.25">
      <c r="A73" s="1">
        <v>3801997259</v>
      </c>
      <c r="B73" s="1" t="s">
        <v>72</v>
      </c>
    </row>
    <row r="74" spans="1:2" x14ac:dyDescent="0.25">
      <c r="A74" s="1">
        <v>4144165211</v>
      </c>
      <c r="B74" s="1" t="s">
        <v>73</v>
      </c>
    </row>
    <row r="75" spans="1:2" x14ac:dyDescent="0.25">
      <c r="A75" s="1">
        <v>7724015493</v>
      </c>
      <c r="B75" s="1" t="s">
        <v>74</v>
      </c>
    </row>
    <row r="76" spans="1:2" x14ac:dyDescent="0.25">
      <c r="A76" s="1">
        <v>1862461218</v>
      </c>
      <c r="B76" s="1" t="s">
        <v>75</v>
      </c>
    </row>
    <row r="77" spans="1:2" x14ac:dyDescent="0.25">
      <c r="A77" s="1">
        <v>1247399268</v>
      </c>
      <c r="B77" s="1" t="s">
        <v>76</v>
      </c>
    </row>
    <row r="78" spans="1:2" x14ac:dyDescent="0.25">
      <c r="A78" s="1">
        <v>8727464701</v>
      </c>
      <c r="B78" s="1" t="s">
        <v>77</v>
      </c>
    </row>
    <row r="79" spans="1:2" x14ac:dyDescent="0.25">
      <c r="A79" s="1">
        <v>2638563833</v>
      </c>
      <c r="B79" s="1" t="s">
        <v>78</v>
      </c>
    </row>
    <row r="80" spans="1:2" x14ac:dyDescent="0.25">
      <c r="A80" s="1">
        <v>3588658820</v>
      </c>
      <c r="B80" s="1" t="s">
        <v>79</v>
      </c>
    </row>
    <row r="81" spans="1:2" x14ac:dyDescent="0.25">
      <c r="A81" s="1">
        <v>3716294237</v>
      </c>
      <c r="B81" s="1" t="s">
        <v>80</v>
      </c>
    </row>
    <row r="82" spans="1:2" x14ac:dyDescent="0.25">
      <c r="A82" s="1">
        <v>1840251248</v>
      </c>
      <c r="B82" s="1" t="s">
        <v>81</v>
      </c>
    </row>
    <row r="83" spans="1:2" x14ac:dyDescent="0.25">
      <c r="A83" s="1">
        <v>6002720782</v>
      </c>
      <c r="B83" s="1" t="s">
        <v>82</v>
      </c>
    </row>
    <row r="84" spans="1:2" x14ac:dyDescent="0.25">
      <c r="A84" s="1">
        <v>1678820666</v>
      </c>
      <c r="B84" s="1" t="s">
        <v>83</v>
      </c>
    </row>
    <row r="85" spans="1:2" x14ac:dyDescent="0.25">
      <c r="A85" s="1">
        <v>7287898259</v>
      </c>
      <c r="B85" s="1" t="s">
        <v>84</v>
      </c>
    </row>
    <row r="86" spans="1:2" x14ac:dyDescent="0.25">
      <c r="A86" s="1">
        <v>7065715198</v>
      </c>
      <c r="B86" s="1" t="s">
        <v>85</v>
      </c>
    </row>
    <row r="87" spans="1:2" x14ac:dyDescent="0.25">
      <c r="A87" s="1">
        <v>6335045168</v>
      </c>
      <c r="B87" s="1" t="s">
        <v>86</v>
      </c>
    </row>
    <row r="88" spans="1:2" x14ac:dyDescent="0.25">
      <c r="A88" s="1">
        <v>7689886031</v>
      </c>
      <c r="B88" s="1" t="s">
        <v>87</v>
      </c>
    </row>
    <row r="89" spans="1:2" x14ac:dyDescent="0.25">
      <c r="A89" s="1">
        <v>4936533775</v>
      </c>
      <c r="B89" s="1" t="s">
        <v>18</v>
      </c>
    </row>
    <row r="90" spans="1:2" x14ac:dyDescent="0.25">
      <c r="A90" s="1">
        <v>4739759407</v>
      </c>
      <c r="B90" s="1" t="s">
        <v>88</v>
      </c>
    </row>
    <row r="91" spans="1:2" x14ac:dyDescent="0.25">
      <c r="A91" s="1">
        <v>4465648849</v>
      </c>
      <c r="B91" s="1" t="s">
        <v>89</v>
      </c>
    </row>
    <row r="92" spans="1:2" x14ac:dyDescent="0.25">
      <c r="A92" s="1">
        <v>2095245686</v>
      </c>
      <c r="B92" s="1" t="s">
        <v>90</v>
      </c>
    </row>
    <row r="93" spans="1:2" x14ac:dyDescent="0.25">
      <c r="A93" s="1">
        <v>3447680219</v>
      </c>
      <c r="B93" s="1" t="s">
        <v>91</v>
      </c>
    </row>
    <row r="94" spans="1:2" x14ac:dyDescent="0.25">
      <c r="A94" s="1">
        <v>2194387274</v>
      </c>
      <c r="B94" s="1" t="s">
        <v>92</v>
      </c>
    </row>
    <row r="95" spans="1:2" x14ac:dyDescent="0.25">
      <c r="A95" s="1">
        <v>3687534280</v>
      </c>
      <c r="B95" s="1" t="s">
        <v>93</v>
      </c>
    </row>
    <row r="96" spans="1:2" x14ac:dyDescent="0.25">
      <c r="A96" s="1">
        <v>4628631077</v>
      </c>
      <c r="B96" s="1" t="s">
        <v>94</v>
      </c>
    </row>
    <row r="97" spans="1:2" x14ac:dyDescent="0.25">
      <c r="A97" s="1">
        <v>3403434409</v>
      </c>
      <c r="B97" s="1" t="s">
        <v>95</v>
      </c>
    </row>
    <row r="98" spans="1:2" x14ac:dyDescent="0.25">
      <c r="A98" s="1">
        <v>7082474913</v>
      </c>
      <c r="B98" s="1" t="s">
        <v>96</v>
      </c>
    </row>
    <row r="99" spans="1:2" x14ac:dyDescent="0.25">
      <c r="A99" s="1">
        <v>1293314852</v>
      </c>
      <c r="B99" s="1" t="s">
        <v>97</v>
      </c>
    </row>
    <row r="100" spans="1:2" x14ac:dyDescent="0.25">
      <c r="A100" s="1">
        <v>1419823187</v>
      </c>
      <c r="B100" s="1" t="s">
        <v>98</v>
      </c>
    </row>
    <row r="101" spans="1:2" x14ac:dyDescent="0.25">
      <c r="A101" s="1">
        <v>4903357331</v>
      </c>
      <c r="B101" s="1" t="s">
        <v>99</v>
      </c>
    </row>
    <row r="102" spans="1:2" x14ac:dyDescent="0.25">
      <c r="A102" s="1">
        <v>8248798216</v>
      </c>
      <c r="B102" s="1" t="s">
        <v>100</v>
      </c>
    </row>
    <row r="103" spans="1:2" x14ac:dyDescent="0.25">
      <c r="A103" s="1">
        <v>7618390488</v>
      </c>
      <c r="B103" s="1" t="s">
        <v>101</v>
      </c>
    </row>
    <row r="104" spans="1:2" x14ac:dyDescent="0.25">
      <c r="A104" s="1">
        <v>5696997655</v>
      </c>
      <c r="B104" s="1" t="s">
        <v>102</v>
      </c>
    </row>
    <row r="105" spans="1:2" x14ac:dyDescent="0.25">
      <c r="A105" s="1">
        <v>6035251572</v>
      </c>
      <c r="B105" s="1" t="s">
        <v>103</v>
      </c>
    </row>
    <row r="106" spans="1:2" x14ac:dyDescent="0.25">
      <c r="A106" s="1">
        <v>7780599466</v>
      </c>
      <c r="B106" s="1" t="s">
        <v>104</v>
      </c>
    </row>
    <row r="107" spans="1:2" x14ac:dyDescent="0.25">
      <c r="A107" s="1">
        <v>4765437191</v>
      </c>
      <c r="B107" s="1" t="s">
        <v>105</v>
      </c>
    </row>
    <row r="108" spans="1:2" x14ac:dyDescent="0.25">
      <c r="A108" s="1">
        <v>3395814592</v>
      </c>
      <c r="B108" s="1" t="s">
        <v>106</v>
      </c>
    </row>
    <row r="109" spans="1:2" x14ac:dyDescent="0.25">
      <c r="A109" s="1">
        <v>4192276658</v>
      </c>
      <c r="B109" s="1" t="s">
        <v>107</v>
      </c>
    </row>
    <row r="110" spans="1:2" x14ac:dyDescent="0.25">
      <c r="A110" s="1">
        <v>8628931596</v>
      </c>
      <c r="B110" s="1" t="s">
        <v>108</v>
      </c>
    </row>
    <row r="111" spans="1:2" x14ac:dyDescent="0.25">
      <c r="A111" s="1">
        <v>4915796228</v>
      </c>
      <c r="B111" s="1" t="s">
        <v>109</v>
      </c>
    </row>
    <row r="112" spans="1:2" x14ac:dyDescent="0.25">
      <c r="A112" s="1">
        <v>7613699637</v>
      </c>
      <c r="B112" s="1" t="s">
        <v>110</v>
      </c>
    </row>
    <row r="113" spans="1:2" x14ac:dyDescent="0.25">
      <c r="A113" s="1">
        <v>6830729927</v>
      </c>
      <c r="B113" s="1" t="s">
        <v>111</v>
      </c>
    </row>
    <row r="114" spans="1:2" x14ac:dyDescent="0.25">
      <c r="A114" s="1">
        <v>7334582506</v>
      </c>
      <c r="B114" s="1" t="s">
        <v>112</v>
      </c>
    </row>
    <row r="115" spans="1:2" x14ac:dyDescent="0.25">
      <c r="A115" s="1">
        <v>3060990296</v>
      </c>
      <c r="B115" s="1" t="s">
        <v>113</v>
      </c>
    </row>
    <row r="116" spans="1:2" x14ac:dyDescent="0.25">
      <c r="A116" s="1">
        <v>5237691014</v>
      </c>
      <c r="B116" s="1" t="s">
        <v>114</v>
      </c>
    </row>
    <row r="117" spans="1:2" x14ac:dyDescent="0.25">
      <c r="A117" s="1">
        <v>8278959422</v>
      </c>
      <c r="B117" s="1" t="s">
        <v>115</v>
      </c>
    </row>
    <row r="118" spans="1:2" x14ac:dyDescent="0.25">
      <c r="A118" s="1">
        <v>2689066633</v>
      </c>
      <c r="B118" s="1" t="s">
        <v>116</v>
      </c>
    </row>
    <row r="119" spans="1:2" x14ac:dyDescent="0.25">
      <c r="A119" s="1">
        <v>5068939714</v>
      </c>
      <c r="B119" s="1" t="s">
        <v>117</v>
      </c>
    </row>
    <row r="120" spans="1:2" x14ac:dyDescent="0.25">
      <c r="A120" s="1">
        <v>6248928254</v>
      </c>
      <c r="B120" s="1" t="s">
        <v>118</v>
      </c>
    </row>
    <row r="121" spans="1:2" x14ac:dyDescent="0.25">
      <c r="A121" s="1">
        <v>4199835065</v>
      </c>
      <c r="B121" s="1" t="s">
        <v>119</v>
      </c>
    </row>
    <row r="122" spans="1:2" x14ac:dyDescent="0.25">
      <c r="A122" s="1">
        <v>6270874763</v>
      </c>
      <c r="B122" s="1" t="s">
        <v>120</v>
      </c>
    </row>
    <row r="123" spans="1:2" x14ac:dyDescent="0.25">
      <c r="A123" s="1">
        <v>9070462030</v>
      </c>
      <c r="B123" s="1" t="s">
        <v>121</v>
      </c>
    </row>
    <row r="124" spans="1:2" x14ac:dyDescent="0.25">
      <c r="A124" s="1">
        <v>3794029393</v>
      </c>
      <c r="B124" s="1" t="s">
        <v>122</v>
      </c>
    </row>
    <row r="125" spans="1:2" x14ac:dyDescent="0.25">
      <c r="A125" s="1">
        <v>7671177388</v>
      </c>
      <c r="B125" s="1" t="s">
        <v>123</v>
      </c>
    </row>
    <row r="126" spans="1:2" x14ac:dyDescent="0.25">
      <c r="A126" s="1">
        <v>6151432328</v>
      </c>
      <c r="B126" s="1" t="s">
        <v>124</v>
      </c>
    </row>
    <row r="127" spans="1:2" x14ac:dyDescent="0.25">
      <c r="A127" s="1">
        <v>6672884434</v>
      </c>
      <c r="B127" s="1" t="s">
        <v>125</v>
      </c>
    </row>
    <row r="128" spans="1:2" x14ac:dyDescent="0.25">
      <c r="A128" s="1">
        <v>7850048417</v>
      </c>
      <c r="B128" s="1" t="s">
        <v>126</v>
      </c>
    </row>
    <row r="129" spans="1:2" x14ac:dyDescent="0.25">
      <c r="A129" s="1">
        <v>9065913703</v>
      </c>
      <c r="B129" s="1" t="s">
        <v>127</v>
      </c>
    </row>
    <row r="130" spans="1:2" x14ac:dyDescent="0.25">
      <c r="A130" s="1">
        <v>8376177793</v>
      </c>
      <c r="B130" s="1" t="s">
        <v>128</v>
      </c>
    </row>
    <row r="131" spans="1:2" x14ac:dyDescent="0.25">
      <c r="A131" s="1">
        <v>7550982877</v>
      </c>
      <c r="B131" s="1" t="s">
        <v>129</v>
      </c>
    </row>
    <row r="132" spans="1:2" x14ac:dyDescent="0.25">
      <c r="A132" s="1">
        <v>6916519018</v>
      </c>
      <c r="B132" s="1" t="s">
        <v>130</v>
      </c>
    </row>
    <row r="133" spans="1:2" x14ac:dyDescent="0.25">
      <c r="A133" s="1">
        <v>8196287222</v>
      </c>
      <c r="B133" s="1" t="s">
        <v>131</v>
      </c>
    </row>
    <row r="134" spans="1:2" x14ac:dyDescent="0.25">
      <c r="A134" s="1">
        <v>7484547570</v>
      </c>
      <c r="B134" s="1" t="s">
        <v>132</v>
      </c>
    </row>
    <row r="135" spans="1:2" x14ac:dyDescent="0.25">
      <c r="A135" s="1">
        <v>8281688322</v>
      </c>
      <c r="B135" s="1" t="s">
        <v>133</v>
      </c>
    </row>
    <row r="136" spans="1:2" x14ac:dyDescent="0.25">
      <c r="A136" s="1">
        <v>2092712035</v>
      </c>
      <c r="B136" s="1" t="s">
        <v>134</v>
      </c>
    </row>
    <row r="137" spans="1:2" x14ac:dyDescent="0.25">
      <c r="A137" s="1">
        <v>4072113231</v>
      </c>
      <c r="B137" s="1" t="s">
        <v>135</v>
      </c>
    </row>
    <row r="138" spans="1:2" x14ac:dyDescent="0.25">
      <c r="A138" s="1">
        <v>3307724810</v>
      </c>
      <c r="B138" s="1" t="s">
        <v>136</v>
      </c>
    </row>
    <row r="139" spans="1:2" x14ac:dyDescent="0.25">
      <c r="A139" s="1">
        <v>1999554625</v>
      </c>
      <c r="B139" s="1" t="s">
        <v>137</v>
      </c>
    </row>
    <row r="140" spans="1:2" x14ac:dyDescent="0.25">
      <c r="A140" s="1">
        <v>6552296833</v>
      </c>
      <c r="B140" s="1" t="s">
        <v>138</v>
      </c>
    </row>
    <row r="141" spans="1:2" x14ac:dyDescent="0.25">
      <c r="A141" s="1">
        <v>7028026567</v>
      </c>
      <c r="B141" s="1" t="s">
        <v>139</v>
      </c>
    </row>
    <row r="142" spans="1:2" x14ac:dyDescent="0.25">
      <c r="A142" s="1">
        <v>5217583492</v>
      </c>
      <c r="B142" s="1" t="s">
        <v>140</v>
      </c>
    </row>
    <row r="143" spans="1:2" x14ac:dyDescent="0.25">
      <c r="A143" s="1">
        <v>6378518993</v>
      </c>
      <c r="B143" s="1" t="s">
        <v>141</v>
      </c>
    </row>
    <row r="144" spans="1:2" x14ac:dyDescent="0.25">
      <c r="A144" s="1">
        <v>5091315887</v>
      </c>
      <c r="B144" s="1" t="s">
        <v>142</v>
      </c>
    </row>
    <row r="145" spans="1:2" x14ac:dyDescent="0.25">
      <c r="A145" s="1">
        <v>5488217764</v>
      </c>
      <c r="B145" s="1" t="s">
        <v>143</v>
      </c>
    </row>
    <row r="146" spans="1:2" x14ac:dyDescent="0.25">
      <c r="A146" s="1">
        <v>6044068054</v>
      </c>
      <c r="B146" s="1" t="s">
        <v>144</v>
      </c>
    </row>
    <row r="147" spans="1:2" x14ac:dyDescent="0.25">
      <c r="A147" s="1">
        <v>2795135088</v>
      </c>
      <c r="B147" s="1" t="s">
        <v>145</v>
      </c>
    </row>
    <row r="148" spans="1:2" x14ac:dyDescent="0.25">
      <c r="A148" s="1">
        <v>8934578379</v>
      </c>
      <c r="B148" s="1" t="s">
        <v>146</v>
      </c>
    </row>
    <row r="149" spans="1:2" x14ac:dyDescent="0.25">
      <c r="A149" s="1">
        <v>6714867933</v>
      </c>
      <c r="B149" s="1" t="s">
        <v>147</v>
      </c>
    </row>
    <row r="150" spans="1:2" x14ac:dyDescent="0.25">
      <c r="A150" s="1">
        <v>4651873225</v>
      </c>
      <c r="B150" s="1" t="s">
        <v>148</v>
      </c>
    </row>
    <row r="151" spans="1:2" x14ac:dyDescent="0.25">
      <c r="A151" s="1">
        <v>5751042601</v>
      </c>
      <c r="B151" s="1" t="s">
        <v>149</v>
      </c>
    </row>
    <row r="152" spans="1:2" x14ac:dyDescent="0.25">
      <c r="A152" s="1">
        <v>2353190987</v>
      </c>
      <c r="B152" s="1" t="s">
        <v>150</v>
      </c>
    </row>
    <row r="153" spans="1:2" x14ac:dyDescent="0.25">
      <c r="A153" s="1">
        <v>2306321602</v>
      </c>
      <c r="B153" s="1" t="s">
        <v>151</v>
      </c>
    </row>
    <row r="154" spans="1:2" x14ac:dyDescent="0.25">
      <c r="A154" s="1">
        <v>1623241122</v>
      </c>
      <c r="B154" s="1" t="s">
        <v>152</v>
      </c>
    </row>
    <row r="155" spans="1:2" x14ac:dyDescent="0.25">
      <c r="A155" s="1">
        <v>5671931467</v>
      </c>
      <c r="B155" s="1" t="s">
        <v>153</v>
      </c>
    </row>
    <row r="156" spans="1:2" x14ac:dyDescent="0.25">
      <c r="A156" s="1">
        <v>6364347255</v>
      </c>
      <c r="B156" s="1" t="s">
        <v>154</v>
      </c>
    </row>
    <row r="157" spans="1:2" x14ac:dyDescent="0.25">
      <c r="A157" s="1">
        <v>3526429255</v>
      </c>
      <c r="B157" s="1" t="s">
        <v>155</v>
      </c>
    </row>
    <row r="158" spans="1:2" x14ac:dyDescent="0.25">
      <c r="A158" s="1">
        <v>5013751151</v>
      </c>
      <c r="B158" s="1" t="s">
        <v>156</v>
      </c>
    </row>
    <row r="159" spans="1:2" x14ac:dyDescent="0.25">
      <c r="A159" s="1">
        <v>6521196327</v>
      </c>
      <c r="B159" s="1" t="s">
        <v>157</v>
      </c>
    </row>
    <row r="160" spans="1:2" x14ac:dyDescent="0.25">
      <c r="A160" s="1">
        <v>1863397621</v>
      </c>
      <c r="B160" s="1" t="s">
        <v>158</v>
      </c>
    </row>
    <row r="161" spans="1:2" x14ac:dyDescent="0.25">
      <c r="A161" s="1">
        <v>2519343006</v>
      </c>
      <c r="B161" s="1" t="s">
        <v>159</v>
      </c>
    </row>
    <row r="162" spans="1:2" x14ac:dyDescent="0.25">
      <c r="A162" s="1">
        <v>8559314869</v>
      </c>
      <c r="B162" s="1" t="s">
        <v>160</v>
      </c>
    </row>
    <row r="163" spans="1:2" x14ac:dyDescent="0.25">
      <c r="A163" s="1">
        <v>2300491438</v>
      </c>
      <c r="B163" s="1" t="s">
        <v>161</v>
      </c>
    </row>
    <row r="164" spans="1:2" x14ac:dyDescent="0.25">
      <c r="A164" s="1">
        <v>8805235250</v>
      </c>
      <c r="B164" s="1" t="s">
        <v>162</v>
      </c>
    </row>
    <row r="165" spans="1:2" x14ac:dyDescent="0.25">
      <c r="A165" s="1">
        <v>4897744570</v>
      </c>
      <c r="B165" s="1" t="s">
        <v>163</v>
      </c>
    </row>
    <row r="166" spans="1:2" x14ac:dyDescent="0.25">
      <c r="A166" s="1">
        <v>6598056548</v>
      </c>
      <c r="B166" s="1" t="s">
        <v>164</v>
      </c>
    </row>
    <row r="167" spans="1:2" x14ac:dyDescent="0.25">
      <c r="A167" s="1">
        <v>3880439395</v>
      </c>
      <c r="B167" s="1" t="s">
        <v>165</v>
      </c>
    </row>
    <row r="168" spans="1:2" x14ac:dyDescent="0.25">
      <c r="A168" s="1">
        <v>3062655981</v>
      </c>
      <c r="B168" s="1" t="s">
        <v>166</v>
      </c>
    </row>
    <row r="169" spans="1:2" x14ac:dyDescent="0.25">
      <c r="A169" s="1">
        <v>1367325676</v>
      </c>
      <c r="B169" s="1" t="s">
        <v>167</v>
      </c>
    </row>
    <row r="170" spans="1:2" x14ac:dyDescent="0.25">
      <c r="A170" s="1">
        <v>2579484786</v>
      </c>
      <c r="B170" s="1" t="s">
        <v>168</v>
      </c>
    </row>
    <row r="171" spans="1:2" x14ac:dyDescent="0.25">
      <c r="A171" s="1">
        <v>4772946395</v>
      </c>
      <c r="B171" s="1" t="s">
        <v>169</v>
      </c>
    </row>
    <row r="172" spans="1:2" x14ac:dyDescent="0.25">
      <c r="A172" s="1">
        <v>6860022656</v>
      </c>
      <c r="B172" s="1" t="s">
        <v>170</v>
      </c>
    </row>
    <row r="173" spans="1:2" x14ac:dyDescent="0.25">
      <c r="A173" s="1">
        <v>1772556727</v>
      </c>
      <c r="B173" s="1" t="s">
        <v>171</v>
      </c>
    </row>
    <row r="174" spans="1:2" x14ac:dyDescent="0.25">
      <c r="A174" s="1">
        <v>4383088045</v>
      </c>
      <c r="B174" s="1" t="s">
        <v>172</v>
      </c>
    </row>
    <row r="175" spans="1:2" x14ac:dyDescent="0.25">
      <c r="A175" s="1">
        <v>6412942009</v>
      </c>
      <c r="B175" s="1" t="s">
        <v>173</v>
      </c>
    </row>
    <row r="176" spans="1:2" x14ac:dyDescent="0.25">
      <c r="A176" s="1">
        <v>7314937389</v>
      </c>
      <c r="B176" s="1" t="s">
        <v>174</v>
      </c>
    </row>
    <row r="177" spans="1:2" x14ac:dyDescent="0.25">
      <c r="A177" s="1">
        <v>7647283369</v>
      </c>
      <c r="B177" s="1" t="s">
        <v>175</v>
      </c>
    </row>
    <row r="178" spans="1:2" x14ac:dyDescent="0.25">
      <c r="A178" s="1">
        <v>5795719537</v>
      </c>
      <c r="B178" s="1" t="s">
        <v>176</v>
      </c>
    </row>
    <row r="179" spans="1:2" x14ac:dyDescent="0.25">
      <c r="A179" s="1">
        <v>1193176991</v>
      </c>
      <c r="B179" s="1" t="s">
        <v>177</v>
      </c>
    </row>
    <row r="180" spans="1:2" x14ac:dyDescent="0.25">
      <c r="A180" s="1">
        <v>2785954584</v>
      </c>
      <c r="B180" s="1" t="s">
        <v>178</v>
      </c>
    </row>
    <row r="181" spans="1:2" x14ac:dyDescent="0.25">
      <c r="A181" s="1">
        <v>5952977070</v>
      </c>
      <c r="B181" s="1" t="s">
        <v>179</v>
      </c>
    </row>
    <row r="182" spans="1:2" x14ac:dyDescent="0.25">
      <c r="A182" s="1">
        <v>7456677289</v>
      </c>
      <c r="B182" s="1" t="s">
        <v>180</v>
      </c>
    </row>
    <row r="183" spans="1:2" x14ac:dyDescent="0.25">
      <c r="A183" s="1">
        <v>1188082699</v>
      </c>
      <c r="B183" s="1" t="s">
        <v>181</v>
      </c>
    </row>
    <row r="184" spans="1:2" x14ac:dyDescent="0.25">
      <c r="A184" s="1">
        <v>6656211665</v>
      </c>
      <c r="B184" s="1" t="s">
        <v>182</v>
      </c>
    </row>
    <row r="185" spans="1:2" x14ac:dyDescent="0.25">
      <c r="A185" s="1">
        <v>1441026587</v>
      </c>
      <c r="B185" s="1" t="s">
        <v>183</v>
      </c>
    </row>
    <row r="186" spans="1:2" x14ac:dyDescent="0.25">
      <c r="A186" s="1">
        <v>3579877656</v>
      </c>
      <c r="B186" s="1" t="s">
        <v>184</v>
      </c>
    </row>
    <row r="187" spans="1:2" x14ac:dyDescent="0.25">
      <c r="A187" s="1">
        <v>8320458644</v>
      </c>
      <c r="B187" s="1" t="s">
        <v>185</v>
      </c>
    </row>
    <row r="188" spans="1:2" x14ac:dyDescent="0.25">
      <c r="A188" s="1">
        <v>3350895733</v>
      </c>
      <c r="B188" s="1" t="s">
        <v>186</v>
      </c>
    </row>
    <row r="189" spans="1:2" x14ac:dyDescent="0.25">
      <c r="A189" s="1">
        <v>4805111999</v>
      </c>
      <c r="B189" s="1" t="s">
        <v>187</v>
      </c>
    </row>
    <row r="190" spans="1:2" x14ac:dyDescent="0.25">
      <c r="A190" s="1">
        <v>5445180158</v>
      </c>
      <c r="B190" s="1" t="s">
        <v>188</v>
      </c>
    </row>
    <row r="191" spans="1:2" x14ac:dyDescent="0.25">
      <c r="A191" s="1">
        <v>5042838277</v>
      </c>
      <c r="B191" s="1" t="s">
        <v>189</v>
      </c>
    </row>
    <row r="192" spans="1:2" x14ac:dyDescent="0.25">
      <c r="A192" s="1">
        <v>6443213937</v>
      </c>
      <c r="B192" s="1" t="s">
        <v>190</v>
      </c>
    </row>
    <row r="193" spans="1:2" x14ac:dyDescent="0.25">
      <c r="A193" s="1">
        <v>6444614161</v>
      </c>
      <c r="B193" s="1" t="s">
        <v>191</v>
      </c>
    </row>
    <row r="194" spans="1:2" x14ac:dyDescent="0.25">
      <c r="A194" s="1">
        <v>4668486040</v>
      </c>
      <c r="B194" s="1" t="s">
        <v>192</v>
      </c>
    </row>
    <row r="195" spans="1:2" x14ac:dyDescent="0.25">
      <c r="A195" s="1">
        <v>1297877629</v>
      </c>
      <c r="B195" s="1" t="s">
        <v>193</v>
      </c>
    </row>
    <row r="196" spans="1:2" x14ac:dyDescent="0.25">
      <c r="A196" s="1">
        <v>3472525793</v>
      </c>
      <c r="B196" s="1" t="s">
        <v>194</v>
      </c>
    </row>
    <row r="197" spans="1:2" x14ac:dyDescent="0.25">
      <c r="A197" s="1">
        <v>6833487134</v>
      </c>
      <c r="B197" s="1" t="s">
        <v>195</v>
      </c>
    </row>
    <row r="198" spans="1:2" x14ac:dyDescent="0.25">
      <c r="A198" s="1">
        <v>3475055686</v>
      </c>
      <c r="B198" s="1" t="s">
        <v>196</v>
      </c>
    </row>
    <row r="199" spans="1:2" x14ac:dyDescent="0.25">
      <c r="A199" s="1">
        <v>2897042119</v>
      </c>
      <c r="B199" s="1" t="s">
        <v>197</v>
      </c>
    </row>
    <row r="200" spans="1:2" x14ac:dyDescent="0.25">
      <c r="A200" s="1">
        <v>8737451302</v>
      </c>
      <c r="B200" s="1" t="s">
        <v>198</v>
      </c>
    </row>
    <row r="201" spans="1:2" x14ac:dyDescent="0.25">
      <c r="A201" s="1">
        <v>1163822769</v>
      </c>
      <c r="B201" s="1" t="s">
        <v>199</v>
      </c>
    </row>
    <row r="202" spans="1:2" x14ac:dyDescent="0.25">
      <c r="A202" s="1">
        <v>5521997030</v>
      </c>
      <c r="B202" s="1" t="s">
        <v>200</v>
      </c>
    </row>
    <row r="203" spans="1:2" x14ac:dyDescent="0.25">
      <c r="A203" s="1">
        <v>4991250698</v>
      </c>
      <c r="B203" s="1" t="s">
        <v>201</v>
      </c>
    </row>
    <row r="204" spans="1:2" x14ac:dyDescent="0.25">
      <c r="A204" s="1">
        <v>7619094759</v>
      </c>
      <c r="B204" s="1" t="s">
        <v>202</v>
      </c>
    </row>
    <row r="205" spans="1:2" x14ac:dyDescent="0.25">
      <c r="A205" s="1">
        <v>8082129789</v>
      </c>
      <c r="B205" s="1" t="s">
        <v>203</v>
      </c>
    </row>
    <row r="206" spans="1:2" x14ac:dyDescent="0.25">
      <c r="A206" s="1">
        <v>1936579180</v>
      </c>
      <c r="B206" s="1" t="s">
        <v>204</v>
      </c>
    </row>
    <row r="207" spans="1:2" x14ac:dyDescent="0.25">
      <c r="A207" s="1">
        <v>1962495733</v>
      </c>
      <c r="B207" s="1" t="s">
        <v>205</v>
      </c>
    </row>
    <row r="208" spans="1:2" x14ac:dyDescent="0.25">
      <c r="A208" s="1">
        <v>2702931898</v>
      </c>
      <c r="B208" s="1" t="s">
        <v>206</v>
      </c>
    </row>
    <row r="209" spans="1:2" x14ac:dyDescent="0.25">
      <c r="A209" s="1">
        <v>7772584579</v>
      </c>
      <c r="B209" s="1" t="s">
        <v>207</v>
      </c>
    </row>
    <row r="210" spans="1:2" x14ac:dyDescent="0.25">
      <c r="A210" s="1">
        <v>6459548335</v>
      </c>
      <c r="B210" s="1" t="s">
        <v>208</v>
      </c>
    </row>
    <row r="211" spans="1:2" x14ac:dyDescent="0.25">
      <c r="A211" s="1">
        <v>1570669308</v>
      </c>
      <c r="B211" s="1" t="s">
        <v>209</v>
      </c>
    </row>
    <row r="212" spans="1:2" x14ac:dyDescent="0.25">
      <c r="A212" s="1">
        <v>1682930418</v>
      </c>
      <c r="B212" s="1" t="s">
        <v>210</v>
      </c>
    </row>
    <row r="213" spans="1:2" x14ac:dyDescent="0.25">
      <c r="A213" s="1">
        <v>4085991855</v>
      </c>
      <c r="B213" s="1" t="s">
        <v>211</v>
      </c>
    </row>
    <row r="214" spans="1:2" x14ac:dyDescent="0.25">
      <c r="A214" s="1">
        <v>6515115933</v>
      </c>
      <c r="B214" s="1" t="s">
        <v>212</v>
      </c>
    </row>
    <row r="215" spans="1:2" x14ac:dyDescent="0.25">
      <c r="A215" s="1">
        <v>5521898710</v>
      </c>
      <c r="B215" s="1" t="s">
        <v>213</v>
      </c>
    </row>
    <row r="216" spans="1:2" x14ac:dyDescent="0.25">
      <c r="A216" s="1">
        <v>2868583648</v>
      </c>
      <c r="B216" s="1" t="s">
        <v>214</v>
      </c>
    </row>
    <row r="217" spans="1:2" x14ac:dyDescent="0.25">
      <c r="A217" s="1">
        <v>7387228722</v>
      </c>
      <c r="B217" s="1" t="s">
        <v>215</v>
      </c>
    </row>
    <row r="218" spans="1:2" x14ac:dyDescent="0.25">
      <c r="A218" s="1">
        <v>8745578803</v>
      </c>
      <c r="B218" s="1" t="s">
        <v>216</v>
      </c>
    </row>
    <row r="219" spans="1:2" x14ac:dyDescent="0.25">
      <c r="A219" s="1">
        <v>2167791239</v>
      </c>
      <c r="B219" s="1" t="s">
        <v>217</v>
      </c>
    </row>
    <row r="220" spans="1:2" x14ac:dyDescent="0.25">
      <c r="A220" s="1">
        <v>8422396538</v>
      </c>
      <c r="B220" s="1" t="s">
        <v>218</v>
      </c>
    </row>
    <row r="221" spans="1:2" x14ac:dyDescent="0.25">
      <c r="A221" s="1">
        <v>1296956106</v>
      </c>
      <c r="B221" s="1" t="s">
        <v>219</v>
      </c>
    </row>
    <row r="222" spans="1:2" x14ac:dyDescent="0.25">
      <c r="A222" s="1">
        <v>8679251621</v>
      </c>
      <c r="B222" s="1" t="s">
        <v>220</v>
      </c>
    </row>
    <row r="223" spans="1:2" x14ac:dyDescent="0.25">
      <c r="A223" s="1">
        <v>1701531020</v>
      </c>
      <c r="B223" s="1" t="s">
        <v>221</v>
      </c>
    </row>
    <row r="224" spans="1:2" x14ac:dyDescent="0.25">
      <c r="A224" s="1">
        <v>8933728890</v>
      </c>
      <c r="B224" s="1" t="s">
        <v>222</v>
      </c>
    </row>
    <row r="225" spans="1:2" x14ac:dyDescent="0.25">
      <c r="A225" s="1">
        <v>5389091540</v>
      </c>
      <c r="B225" s="1" t="s">
        <v>223</v>
      </c>
    </row>
    <row r="226" spans="1:2" x14ac:dyDescent="0.25">
      <c r="A226" s="1">
        <v>4224683160</v>
      </c>
      <c r="B226" s="1" t="s">
        <v>224</v>
      </c>
    </row>
    <row r="227" spans="1:2" x14ac:dyDescent="0.25">
      <c r="A227" s="1">
        <v>4630629704</v>
      </c>
      <c r="B227" s="1" t="s">
        <v>225</v>
      </c>
    </row>
    <row r="228" spans="1:2" x14ac:dyDescent="0.25">
      <c r="A228" s="1">
        <v>4681796426</v>
      </c>
      <c r="B228" s="1" t="s">
        <v>226</v>
      </c>
    </row>
    <row r="229" spans="1:2" x14ac:dyDescent="0.25">
      <c r="A229" s="1">
        <v>2249627620</v>
      </c>
      <c r="B229" s="1" t="s">
        <v>227</v>
      </c>
    </row>
    <row r="230" spans="1:2" x14ac:dyDescent="0.25">
      <c r="A230" s="1">
        <v>5592176008</v>
      </c>
      <c r="B230" s="1" t="s">
        <v>228</v>
      </c>
    </row>
    <row r="231" spans="1:2" x14ac:dyDescent="0.25">
      <c r="A231" s="1">
        <v>4018190938</v>
      </c>
      <c r="B231" s="1" t="s">
        <v>229</v>
      </c>
    </row>
    <row r="232" spans="1:2" x14ac:dyDescent="0.25">
      <c r="A232" s="1">
        <v>4150419983</v>
      </c>
      <c r="B232" s="1" t="s">
        <v>230</v>
      </c>
    </row>
    <row r="233" spans="1:2" x14ac:dyDescent="0.25">
      <c r="A233" s="1">
        <v>5710525106</v>
      </c>
      <c r="B233" s="1" t="s">
        <v>231</v>
      </c>
    </row>
    <row r="234" spans="1:2" x14ac:dyDescent="0.25">
      <c r="A234" s="1">
        <v>5260582865</v>
      </c>
      <c r="B234" s="1" t="s">
        <v>232</v>
      </c>
    </row>
    <row r="235" spans="1:2" x14ac:dyDescent="0.25">
      <c r="A235" s="1">
        <v>5885562972</v>
      </c>
      <c r="B235" s="1" t="s">
        <v>233</v>
      </c>
    </row>
    <row r="236" spans="1:2" x14ac:dyDescent="0.25">
      <c r="A236" s="1">
        <v>6526924620</v>
      </c>
      <c r="B236" s="1" t="s">
        <v>234</v>
      </c>
    </row>
    <row r="237" spans="1:2" x14ac:dyDescent="0.25">
      <c r="A237" s="1">
        <v>3091264700</v>
      </c>
      <c r="B237" s="1" t="s">
        <v>235</v>
      </c>
    </row>
    <row r="238" spans="1:2" x14ac:dyDescent="0.25">
      <c r="A238" s="1">
        <v>8942338385</v>
      </c>
      <c r="B238" s="1" t="s">
        <v>236</v>
      </c>
    </row>
    <row r="239" spans="1:2" x14ac:dyDescent="0.25">
      <c r="A239" s="1">
        <v>5648911485</v>
      </c>
      <c r="B239" s="1" t="s">
        <v>237</v>
      </c>
    </row>
    <row r="240" spans="1:2" x14ac:dyDescent="0.25">
      <c r="A240" s="1">
        <v>7027436764</v>
      </c>
      <c r="B240" s="1" t="s">
        <v>238</v>
      </c>
    </row>
    <row r="241" spans="1:2" x14ac:dyDescent="0.25">
      <c r="A241" s="1">
        <v>6721148115</v>
      </c>
      <c r="B241" s="1" t="s">
        <v>239</v>
      </c>
    </row>
    <row r="242" spans="1:2" x14ac:dyDescent="0.25">
      <c r="A242" s="1">
        <v>6880049887</v>
      </c>
      <c r="B242" s="1" t="s">
        <v>240</v>
      </c>
    </row>
    <row r="243" spans="1:2" x14ac:dyDescent="0.25">
      <c r="A243" s="1">
        <v>6858585919</v>
      </c>
      <c r="B243" s="1" t="s">
        <v>241</v>
      </c>
    </row>
    <row r="244" spans="1:2" x14ac:dyDescent="0.25">
      <c r="A244" s="1">
        <v>4022426323</v>
      </c>
      <c r="B244" s="1" t="s">
        <v>242</v>
      </c>
    </row>
    <row r="245" spans="1:2" x14ac:dyDescent="0.25">
      <c r="A245" s="1">
        <v>7489190652</v>
      </c>
      <c r="B245" s="1" t="s">
        <v>243</v>
      </c>
    </row>
    <row r="246" spans="1:2" x14ac:dyDescent="0.25">
      <c r="A246" s="1">
        <v>1921163791</v>
      </c>
      <c r="B246" s="1" t="s">
        <v>244</v>
      </c>
    </row>
    <row r="247" spans="1:2" x14ac:dyDescent="0.25">
      <c r="A247" s="1">
        <v>1389751081</v>
      </c>
      <c r="B247" s="1" t="s">
        <v>245</v>
      </c>
    </row>
    <row r="248" spans="1:2" x14ac:dyDescent="0.25">
      <c r="A248" s="1">
        <v>3990135391</v>
      </c>
      <c r="B248" s="1" t="s">
        <v>246</v>
      </c>
    </row>
    <row r="249" spans="1:2" x14ac:dyDescent="0.25">
      <c r="A249" s="1">
        <v>8114768328</v>
      </c>
      <c r="B249" s="1" t="s">
        <v>247</v>
      </c>
    </row>
    <row r="250" spans="1:2" x14ac:dyDescent="0.25">
      <c r="A250" s="1">
        <v>5754713142</v>
      </c>
      <c r="B250" s="1" t="s">
        <v>248</v>
      </c>
    </row>
    <row r="251" spans="1:2" x14ac:dyDescent="0.25">
      <c r="A251" s="1">
        <v>6642826490</v>
      </c>
      <c r="B251" s="1" t="s">
        <v>249</v>
      </c>
    </row>
    <row r="252" spans="1:2" x14ac:dyDescent="0.25">
      <c r="A252" s="1">
        <v>5108081832</v>
      </c>
      <c r="B252" s="1" t="s">
        <v>250</v>
      </c>
    </row>
    <row r="253" spans="1:2" x14ac:dyDescent="0.25">
      <c r="A253" s="1">
        <v>2389899098</v>
      </c>
      <c r="B253" s="1" t="s">
        <v>251</v>
      </c>
    </row>
    <row r="254" spans="1:2" x14ac:dyDescent="0.25">
      <c r="A254" s="1">
        <v>2695062234</v>
      </c>
      <c r="B254" s="1" t="s">
        <v>252</v>
      </c>
    </row>
    <row r="255" spans="1:2" x14ac:dyDescent="0.25">
      <c r="A255" s="1">
        <v>1860839543</v>
      </c>
      <c r="B255" s="1" t="s">
        <v>253</v>
      </c>
    </row>
    <row r="256" spans="1:2" x14ac:dyDescent="0.25">
      <c r="A256" s="1">
        <v>4943636987</v>
      </c>
      <c r="B256" s="1" t="s">
        <v>254</v>
      </c>
    </row>
    <row r="257" spans="1:2" x14ac:dyDescent="0.25">
      <c r="A257" s="1">
        <v>4309043662</v>
      </c>
      <c r="B257" s="1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83C59-F580-442E-B6A4-AF176C2AA0E1}">
  <dimension ref="A1:J251"/>
  <sheetViews>
    <sheetView tabSelected="1" workbookViewId="0">
      <selection activeCell="H10" sqref="H10"/>
    </sheetView>
  </sheetViews>
  <sheetFormatPr defaultRowHeight="15" x14ac:dyDescent="0.25"/>
  <cols>
    <col min="1" max="1" width="14.42578125" bestFit="1" customWidth="1"/>
    <col min="2" max="2" width="52.28515625" bestFit="1" customWidth="1"/>
    <col min="3" max="3" width="14.85546875" bestFit="1" customWidth="1"/>
    <col min="4" max="4" width="28.42578125" bestFit="1" customWidth="1"/>
    <col min="5" max="5" width="15.28515625" bestFit="1" customWidth="1"/>
    <col min="6" max="6" width="15.42578125" bestFit="1" customWidth="1"/>
    <col min="7" max="7" width="19.5703125" bestFit="1" customWidth="1"/>
    <col min="8" max="8" width="56.28515625" style="2" bestFit="1" customWidth="1"/>
    <col min="9" max="9" width="44.5703125" style="2" bestFit="1" customWidth="1"/>
    <col min="10" max="10" width="11.7109375" bestFit="1" customWidth="1"/>
  </cols>
  <sheetData>
    <row r="1" spans="1:10" x14ac:dyDescent="0.25">
      <c r="A1" s="3" t="s">
        <v>256</v>
      </c>
      <c r="B1" s="3" t="s">
        <v>257</v>
      </c>
      <c r="C1" s="3" t="s">
        <v>478</v>
      </c>
      <c r="D1" s="3" t="s">
        <v>258</v>
      </c>
      <c r="E1" s="3" t="s">
        <v>259</v>
      </c>
      <c r="F1" s="3" t="s">
        <v>260</v>
      </c>
      <c r="G1" s="3" t="s">
        <v>261</v>
      </c>
      <c r="H1" s="3" t="s">
        <v>479</v>
      </c>
      <c r="I1" s="3" t="s">
        <v>480</v>
      </c>
      <c r="J1" s="3" t="s">
        <v>262</v>
      </c>
    </row>
    <row r="2" spans="1:10" x14ac:dyDescent="0.25">
      <c r="A2" s="4">
        <v>6863768803</v>
      </c>
      <c r="B2" s="4" t="s">
        <v>8</v>
      </c>
      <c r="C2" s="4"/>
      <c r="D2" s="4" t="s">
        <v>263</v>
      </c>
      <c r="E2" s="4">
        <v>9631491612</v>
      </c>
      <c r="F2" s="4">
        <v>828</v>
      </c>
      <c r="G2" s="4">
        <v>3817</v>
      </c>
      <c r="H2" s="4"/>
      <c r="I2" s="4"/>
      <c r="J2" s="4" t="s">
        <v>264</v>
      </c>
    </row>
    <row r="3" spans="1:10" x14ac:dyDescent="0.25">
      <c r="A3" s="4">
        <v>6917625957</v>
      </c>
      <c r="B3" s="4" t="s">
        <v>9</v>
      </c>
      <c r="C3" s="4"/>
      <c r="D3" s="4" t="s">
        <v>265</v>
      </c>
      <c r="E3" s="4">
        <v>9431376706</v>
      </c>
      <c r="F3" s="4">
        <v>1314</v>
      </c>
      <c r="G3" s="4">
        <v>3256</v>
      </c>
      <c r="H3" s="4"/>
      <c r="I3" s="4"/>
      <c r="J3" s="4" t="s">
        <v>264</v>
      </c>
    </row>
    <row r="4" spans="1:10" x14ac:dyDescent="0.25">
      <c r="A4" s="4">
        <v>1859639165</v>
      </c>
      <c r="B4" s="4" t="s">
        <v>10</v>
      </c>
      <c r="C4" s="4"/>
      <c r="D4" s="4" t="s">
        <v>266</v>
      </c>
      <c r="E4" s="4">
        <v>7903410549</v>
      </c>
      <c r="F4" s="4">
        <v>1335</v>
      </c>
      <c r="G4" s="4">
        <v>3099</v>
      </c>
      <c r="H4" s="4"/>
      <c r="I4" s="4"/>
      <c r="J4" s="4" t="s">
        <v>267</v>
      </c>
    </row>
    <row r="5" spans="1:10" x14ac:dyDescent="0.25">
      <c r="A5" s="4">
        <v>3796226153</v>
      </c>
      <c r="B5" s="4" t="s">
        <v>11</v>
      </c>
      <c r="C5" s="4"/>
      <c r="D5" s="4" t="s">
        <v>268</v>
      </c>
      <c r="E5" s="4">
        <v>9031946579</v>
      </c>
      <c r="F5" s="4">
        <v>825</v>
      </c>
      <c r="G5" s="4">
        <v>103</v>
      </c>
      <c r="H5" s="4"/>
      <c r="I5" s="4"/>
      <c r="J5" s="4" t="s">
        <v>264</v>
      </c>
    </row>
    <row r="6" spans="1:10" x14ac:dyDescent="0.25">
      <c r="A6" s="4">
        <v>7020129892</v>
      </c>
      <c r="B6" s="4" t="s">
        <v>12</v>
      </c>
      <c r="C6" s="4" t="str">
        <f>VLOOKUP(A6,[1]Tatanagar!$E:$J,6,FALSE)</f>
        <v>jh.tech</v>
      </c>
      <c r="D6" s="4" t="s">
        <v>269</v>
      </c>
      <c r="E6" s="4">
        <v>9661123131</v>
      </c>
      <c r="F6" s="4">
        <v>4011</v>
      </c>
      <c r="G6" s="4">
        <v>3984</v>
      </c>
      <c r="H6" s="4" t="str">
        <f>VLOOKUP(A6,[1]Tatanagar!$E:$N,10,FALSE)</f>
        <v>MetaMorphic Port : Edge Core Switch Port no. 28</v>
      </c>
      <c r="I6" s="4"/>
      <c r="J6" s="4" t="s">
        <v>270</v>
      </c>
    </row>
    <row r="7" spans="1:10" x14ac:dyDescent="0.25">
      <c r="A7" s="4">
        <v>8297079998</v>
      </c>
      <c r="B7" s="4" t="s">
        <v>13</v>
      </c>
      <c r="C7" s="4" t="str">
        <f>VLOOKUP(A7,[1]Tatanagar!$E:$J,6,FALSE)</f>
        <v>jh.sks</v>
      </c>
      <c r="D7" s="4" t="s">
        <v>13</v>
      </c>
      <c r="E7" s="4">
        <v>9835982099</v>
      </c>
      <c r="F7" s="4">
        <v>844</v>
      </c>
      <c r="G7" s="4">
        <v>3149</v>
      </c>
      <c r="H7" s="4" t="str">
        <f>VLOOKUP(A7,[1]Tatanagar!$E:$N,10,FALSE)</f>
        <v>CKU BB Switch Port no. 5</v>
      </c>
      <c r="I7" s="4"/>
      <c r="J7" s="4" t="s">
        <v>271</v>
      </c>
    </row>
    <row r="8" spans="1:10" x14ac:dyDescent="0.25">
      <c r="A8" s="4">
        <v>3109998394</v>
      </c>
      <c r="B8" s="4" t="s">
        <v>14</v>
      </c>
      <c r="C8" s="4" t="str">
        <f>VLOOKUP(A8,[1]Tatanagar!$E:$J,6,FALSE)</f>
        <v>jh.sky / jh.ssb</v>
      </c>
      <c r="D8" s="4" t="s">
        <v>272</v>
      </c>
      <c r="E8" s="4">
        <v>9430350350</v>
      </c>
      <c r="F8" s="4">
        <v>4011</v>
      </c>
      <c r="G8" s="4">
        <v>3103</v>
      </c>
      <c r="H8" s="4" t="str">
        <f>VLOOKUP(A8,[1]Tatanagar!$E:$N,10,FALSE)</f>
        <v>MetaMorphic Port : Edge Core Switch Port no. 28</v>
      </c>
      <c r="I8" s="4"/>
      <c r="J8" s="4" t="s">
        <v>270</v>
      </c>
    </row>
    <row r="9" spans="1:10" x14ac:dyDescent="0.25">
      <c r="A9" s="4">
        <v>7479748437</v>
      </c>
      <c r="B9" s="4" t="s">
        <v>15</v>
      </c>
      <c r="C9" s="4"/>
      <c r="D9" s="4" t="s">
        <v>273</v>
      </c>
      <c r="E9" s="4">
        <v>7261002563</v>
      </c>
      <c r="F9" s="4">
        <v>765</v>
      </c>
      <c r="G9" s="4">
        <v>3106</v>
      </c>
      <c r="H9" s="4"/>
      <c r="I9" s="4"/>
      <c r="J9" s="4" t="s">
        <v>271</v>
      </c>
    </row>
    <row r="10" spans="1:10" x14ac:dyDescent="0.25">
      <c r="A10" s="4">
        <v>2009738585</v>
      </c>
      <c r="B10" s="4" t="s">
        <v>16</v>
      </c>
      <c r="C10" s="4" t="str">
        <f>VLOOKUP(A10,[1]Tatanagar!$E:$J,6,FALSE)</f>
        <v>jh.mbg / jh.mbt</v>
      </c>
      <c r="D10" s="4" t="s">
        <v>16</v>
      </c>
      <c r="E10" s="4">
        <v>9234703171</v>
      </c>
      <c r="F10" s="4">
        <v>844</v>
      </c>
      <c r="G10" s="4">
        <v>3964</v>
      </c>
      <c r="H10" s="4" t="str">
        <f>VLOOKUP(A10,[1]Tatanagar!$E:$N,10,FALSE)</f>
        <v>GHT BB Switch Port no. 12</v>
      </c>
      <c r="I10" s="4"/>
      <c r="J10" s="4" t="s">
        <v>271</v>
      </c>
    </row>
    <row r="11" spans="1:10" x14ac:dyDescent="0.25">
      <c r="A11" s="4">
        <v>5585147179</v>
      </c>
      <c r="B11" s="4" t="s">
        <v>17</v>
      </c>
      <c r="C11" s="4"/>
      <c r="D11" s="4" t="s">
        <v>274</v>
      </c>
      <c r="E11" s="4">
        <v>9631502540</v>
      </c>
      <c r="F11" s="4">
        <v>804</v>
      </c>
      <c r="G11" s="4">
        <v>3290</v>
      </c>
      <c r="H11" s="4"/>
      <c r="I11" s="4"/>
      <c r="J11" s="4" t="s">
        <v>271</v>
      </c>
    </row>
    <row r="12" spans="1:10" x14ac:dyDescent="0.25">
      <c r="A12" s="4">
        <v>3968136340</v>
      </c>
      <c r="B12" s="4" t="s">
        <v>18</v>
      </c>
      <c r="C12" s="4"/>
      <c r="D12" s="4" t="s">
        <v>275</v>
      </c>
      <c r="E12" s="4">
        <v>7033075530</v>
      </c>
      <c r="F12" s="4">
        <v>824</v>
      </c>
      <c r="G12" s="4">
        <v>3269</v>
      </c>
      <c r="H12" s="4"/>
      <c r="I12" s="4"/>
      <c r="J12" s="4" t="s">
        <v>264</v>
      </c>
    </row>
    <row r="13" spans="1:10" x14ac:dyDescent="0.25">
      <c r="A13" s="4">
        <v>3833133537</v>
      </c>
      <c r="B13" s="4" t="s">
        <v>19</v>
      </c>
      <c r="C13" s="4"/>
      <c r="D13" s="4" t="s">
        <v>276</v>
      </c>
      <c r="E13" s="4">
        <v>9431311011</v>
      </c>
      <c r="F13" s="4">
        <v>837</v>
      </c>
      <c r="G13" s="4">
        <v>3889</v>
      </c>
      <c r="H13" s="4"/>
      <c r="I13" s="4"/>
      <c r="J13" s="4" t="s">
        <v>264</v>
      </c>
    </row>
    <row r="14" spans="1:10" x14ac:dyDescent="0.25">
      <c r="A14" s="4">
        <v>3643925307</v>
      </c>
      <c r="B14" s="4" t="s">
        <v>20</v>
      </c>
      <c r="C14" s="4"/>
      <c r="D14" s="4" t="s">
        <v>277</v>
      </c>
      <c r="E14" s="4">
        <v>9234224920</v>
      </c>
      <c r="F14" s="4">
        <v>806</v>
      </c>
      <c r="G14" s="4">
        <v>132</v>
      </c>
      <c r="H14" s="4"/>
      <c r="I14" s="4"/>
      <c r="J14" s="4" t="s">
        <v>271</v>
      </c>
    </row>
    <row r="15" spans="1:10" x14ac:dyDescent="0.25">
      <c r="A15" s="4">
        <v>7230995846</v>
      </c>
      <c r="B15" s="4" t="s">
        <v>21</v>
      </c>
      <c r="C15" s="4"/>
      <c r="D15" s="4" t="s">
        <v>278</v>
      </c>
      <c r="E15" s="4">
        <v>7061946795</v>
      </c>
      <c r="F15" s="4">
        <v>839</v>
      </c>
      <c r="G15" s="4">
        <v>3232</v>
      </c>
      <c r="H15" s="4"/>
      <c r="I15" s="4"/>
      <c r="J15" s="4" t="s">
        <v>264</v>
      </c>
    </row>
    <row r="16" spans="1:10" x14ac:dyDescent="0.25">
      <c r="A16" s="4">
        <v>5611988257</v>
      </c>
      <c r="B16" s="4" t="s">
        <v>22</v>
      </c>
      <c r="C16" s="4"/>
      <c r="D16" s="4" t="s">
        <v>279</v>
      </c>
      <c r="E16" s="4">
        <v>7909064503</v>
      </c>
      <c r="F16" s="4">
        <v>814</v>
      </c>
      <c r="G16" s="4">
        <v>3173</v>
      </c>
      <c r="H16" s="4"/>
      <c r="I16" s="4"/>
      <c r="J16" s="4" t="s">
        <v>264</v>
      </c>
    </row>
    <row r="17" spans="1:10" x14ac:dyDescent="0.25">
      <c r="A17" s="4">
        <v>1465726979</v>
      </c>
      <c r="B17" s="4" t="s">
        <v>23</v>
      </c>
      <c r="C17" s="4" t="str">
        <f>VLOOKUP(A17,[1]Tatanagar!$E:$J,6,FALSE)</f>
        <v>jh.bgc</v>
      </c>
      <c r="D17" s="4" t="s">
        <v>23</v>
      </c>
      <c r="E17" s="4">
        <v>8651002016</v>
      </c>
      <c r="F17" s="4">
        <v>889</v>
      </c>
      <c r="G17" s="4">
        <v>3868</v>
      </c>
      <c r="H17" s="4" t="str">
        <f>VLOOKUP(A17,[1]Tatanagar!$E:$N,10,FALSE)</f>
        <v>CKP PTN Port no. 1</v>
      </c>
      <c r="I17" s="4"/>
      <c r="J17" s="4" t="s">
        <v>264</v>
      </c>
    </row>
    <row r="18" spans="1:10" x14ac:dyDescent="0.25">
      <c r="A18" s="4">
        <v>1517238512</v>
      </c>
      <c r="B18" s="4" t="s">
        <v>24</v>
      </c>
      <c r="C18" s="4"/>
      <c r="D18" s="4" t="s">
        <v>280</v>
      </c>
      <c r="E18" s="4">
        <v>9123275748</v>
      </c>
      <c r="F18" s="4">
        <v>1357</v>
      </c>
      <c r="G18" s="4">
        <v>3982</v>
      </c>
      <c r="H18" s="4"/>
      <c r="I18" s="4"/>
      <c r="J18" s="4" t="s">
        <v>271</v>
      </c>
    </row>
    <row r="19" spans="1:10" x14ac:dyDescent="0.25">
      <c r="A19" s="4">
        <v>3552734030</v>
      </c>
      <c r="B19" s="4" t="s">
        <v>25</v>
      </c>
      <c r="C19" s="4"/>
      <c r="D19" s="4" t="s">
        <v>281</v>
      </c>
      <c r="E19" s="4">
        <v>7370070067</v>
      </c>
      <c r="F19" s="4">
        <v>836</v>
      </c>
      <c r="G19" s="4">
        <v>3197</v>
      </c>
      <c r="H19" s="4"/>
      <c r="I19" s="4"/>
      <c r="J19" s="4" t="s">
        <v>271</v>
      </c>
    </row>
    <row r="20" spans="1:10" x14ac:dyDescent="0.25">
      <c r="A20" s="4">
        <v>7451074474</v>
      </c>
      <c r="B20" s="4" t="s">
        <v>26</v>
      </c>
      <c r="C20" s="4"/>
      <c r="D20" s="4" t="s">
        <v>282</v>
      </c>
      <c r="E20" s="4">
        <v>8434544468</v>
      </c>
      <c r="F20" s="4">
        <v>822</v>
      </c>
      <c r="G20" s="4">
        <v>3287</v>
      </c>
      <c r="H20" s="4"/>
      <c r="I20" s="4"/>
      <c r="J20" s="4" t="s">
        <v>264</v>
      </c>
    </row>
    <row r="21" spans="1:10" x14ac:dyDescent="0.25">
      <c r="A21" s="4">
        <v>1669467771</v>
      </c>
      <c r="B21" s="4" t="s">
        <v>27</v>
      </c>
      <c r="C21" s="4" t="str">
        <f>VLOOKUP(A21,[1]Tatanagar!$E:$J,6,FALSE)</f>
        <v>jh.ce</v>
      </c>
      <c r="D21" s="4" t="s">
        <v>283</v>
      </c>
      <c r="E21" s="4">
        <v>8235278909</v>
      </c>
      <c r="F21" s="4">
        <v>4011</v>
      </c>
      <c r="G21" s="4">
        <v>3832</v>
      </c>
      <c r="H21" s="4" t="str">
        <f>VLOOKUP(A21,[1]Tatanagar!$E:$N,10,FALSE)</f>
        <v>MetaMorphic Port : Edge Core Switch Port no. 28</v>
      </c>
      <c r="I21" s="4"/>
      <c r="J21" s="4" t="s">
        <v>270</v>
      </c>
    </row>
    <row r="22" spans="1:10" x14ac:dyDescent="0.25">
      <c r="A22" s="4">
        <v>9027149675</v>
      </c>
      <c r="B22" s="4" t="s">
        <v>28</v>
      </c>
      <c r="C22" s="4"/>
      <c r="D22" s="4" t="s">
        <v>284</v>
      </c>
      <c r="E22" s="4">
        <v>9608591820</v>
      </c>
      <c r="F22" s="4">
        <v>866</v>
      </c>
      <c r="G22" s="4">
        <v>3179</v>
      </c>
      <c r="H22" s="4"/>
      <c r="I22" s="4"/>
      <c r="J22" s="4" t="s">
        <v>271</v>
      </c>
    </row>
    <row r="23" spans="1:10" x14ac:dyDescent="0.25">
      <c r="A23" s="4">
        <v>4769993708</v>
      </c>
      <c r="B23" s="4" t="s">
        <v>29</v>
      </c>
      <c r="C23" s="4"/>
      <c r="D23" s="4" t="s">
        <v>285</v>
      </c>
      <c r="E23" s="4">
        <v>8797828850</v>
      </c>
      <c r="F23" s="4">
        <v>827</v>
      </c>
      <c r="G23" s="4">
        <v>3580</v>
      </c>
      <c r="H23" s="4"/>
      <c r="I23" s="4"/>
      <c r="J23" s="4" t="s">
        <v>264</v>
      </c>
    </row>
    <row r="24" spans="1:10" x14ac:dyDescent="0.25">
      <c r="A24" s="4">
        <v>6773172299</v>
      </c>
      <c r="B24" s="4" t="s">
        <v>30</v>
      </c>
      <c r="C24" s="4"/>
      <c r="D24" s="4" t="s">
        <v>286</v>
      </c>
      <c r="E24" s="4">
        <v>8935913061</v>
      </c>
      <c r="F24" s="4">
        <v>1221</v>
      </c>
      <c r="G24" s="4">
        <v>3365</v>
      </c>
      <c r="H24" s="4"/>
      <c r="I24" s="4"/>
      <c r="J24" s="4" t="s">
        <v>264</v>
      </c>
    </row>
    <row r="25" spans="1:10" x14ac:dyDescent="0.25">
      <c r="A25" s="4">
        <v>6681843167</v>
      </c>
      <c r="B25" s="4" t="s">
        <v>31</v>
      </c>
      <c r="C25" s="4"/>
      <c r="D25" s="4" t="s">
        <v>287</v>
      </c>
      <c r="E25" s="4">
        <v>6397215387</v>
      </c>
      <c r="F25" s="4">
        <v>894</v>
      </c>
      <c r="G25" s="4">
        <v>3115</v>
      </c>
      <c r="H25" s="4"/>
      <c r="I25" s="4"/>
      <c r="J25" s="4" t="s">
        <v>271</v>
      </c>
    </row>
    <row r="26" spans="1:10" x14ac:dyDescent="0.25">
      <c r="A26" s="4">
        <v>1524539357</v>
      </c>
      <c r="B26" s="4" t="s">
        <v>32</v>
      </c>
      <c r="C26" s="4"/>
      <c r="D26" s="4" t="s">
        <v>288</v>
      </c>
      <c r="E26" s="4">
        <v>9708557316</v>
      </c>
      <c r="F26" s="4">
        <v>825</v>
      </c>
      <c r="G26" s="4">
        <v>3165</v>
      </c>
      <c r="H26" s="4"/>
      <c r="I26" s="4"/>
      <c r="J26" s="4" t="s">
        <v>267</v>
      </c>
    </row>
    <row r="27" spans="1:10" x14ac:dyDescent="0.25">
      <c r="A27" s="4">
        <v>7039937781</v>
      </c>
      <c r="B27" s="4" t="s">
        <v>33</v>
      </c>
      <c r="C27" s="4"/>
      <c r="D27" s="4" t="s">
        <v>289</v>
      </c>
      <c r="E27" s="4">
        <v>9123194625</v>
      </c>
      <c r="F27" s="4">
        <v>892</v>
      </c>
      <c r="G27" s="4">
        <v>3118</v>
      </c>
      <c r="H27" s="4"/>
      <c r="I27" s="4"/>
      <c r="J27" s="4" t="s">
        <v>271</v>
      </c>
    </row>
    <row r="28" spans="1:10" x14ac:dyDescent="0.25">
      <c r="A28" s="4">
        <v>4222361504</v>
      </c>
      <c r="B28" s="4" t="s">
        <v>34</v>
      </c>
      <c r="C28" s="4"/>
      <c r="D28" s="4" t="s">
        <v>290</v>
      </c>
      <c r="E28" s="4">
        <v>9939862184</v>
      </c>
      <c r="F28" s="4">
        <v>856</v>
      </c>
      <c r="G28" s="4">
        <v>3898</v>
      </c>
      <c r="H28" s="4"/>
      <c r="I28" s="4"/>
      <c r="J28" s="4" t="s">
        <v>264</v>
      </c>
    </row>
    <row r="29" spans="1:10" x14ac:dyDescent="0.25">
      <c r="A29" s="4">
        <v>7403854611</v>
      </c>
      <c r="B29" s="4" t="s">
        <v>35</v>
      </c>
      <c r="C29" s="4"/>
      <c r="D29" s="4" t="s">
        <v>291</v>
      </c>
      <c r="E29" s="4">
        <v>7739340434</v>
      </c>
      <c r="F29" s="4">
        <v>823</v>
      </c>
      <c r="G29" s="4">
        <v>3341</v>
      </c>
      <c r="H29" s="4"/>
      <c r="I29" s="4"/>
      <c r="J29" s="4" t="s">
        <v>264</v>
      </c>
    </row>
    <row r="30" spans="1:10" x14ac:dyDescent="0.25">
      <c r="A30" s="4">
        <v>4015968403</v>
      </c>
      <c r="B30" s="4" t="s">
        <v>36</v>
      </c>
      <c r="C30" s="4"/>
      <c r="D30" s="4" t="s">
        <v>36</v>
      </c>
      <c r="E30" s="4">
        <v>9110926596</v>
      </c>
      <c r="F30" s="4">
        <v>876</v>
      </c>
      <c r="G30" s="4">
        <v>3266</v>
      </c>
      <c r="H30" s="4"/>
      <c r="I30" s="4"/>
      <c r="J30" s="4" t="s">
        <v>264</v>
      </c>
    </row>
    <row r="31" spans="1:10" x14ac:dyDescent="0.25">
      <c r="A31" s="4">
        <v>8288130097</v>
      </c>
      <c r="B31" s="4" t="s">
        <v>37</v>
      </c>
      <c r="C31" s="4"/>
      <c r="D31" s="4" t="s">
        <v>292</v>
      </c>
      <c r="E31" s="4">
        <v>8709827275</v>
      </c>
      <c r="F31" s="4">
        <v>1300</v>
      </c>
      <c r="G31" s="4">
        <v>3123</v>
      </c>
      <c r="H31" s="4"/>
      <c r="I31" s="4"/>
      <c r="J31" s="4" t="s">
        <v>264</v>
      </c>
    </row>
    <row r="32" spans="1:10" x14ac:dyDescent="0.25">
      <c r="A32" s="4">
        <v>8915040349</v>
      </c>
      <c r="B32" s="4" t="s">
        <v>7</v>
      </c>
      <c r="C32" s="4"/>
      <c r="D32" s="4" t="s">
        <v>293</v>
      </c>
      <c r="E32" s="4">
        <v>9931089953</v>
      </c>
      <c r="F32" s="4">
        <v>860</v>
      </c>
      <c r="G32" s="4">
        <v>3390</v>
      </c>
      <c r="H32" s="4"/>
      <c r="I32" s="4"/>
      <c r="J32" s="4" t="s">
        <v>264</v>
      </c>
    </row>
    <row r="33" spans="1:10" x14ac:dyDescent="0.25">
      <c r="A33" s="4">
        <v>5345996909</v>
      </c>
      <c r="B33" s="4" t="s">
        <v>38</v>
      </c>
      <c r="C33" s="4"/>
      <c r="D33" s="4" t="s">
        <v>294</v>
      </c>
      <c r="E33" s="4">
        <v>9973830270</v>
      </c>
      <c r="F33" s="4">
        <v>1297</v>
      </c>
      <c r="G33" s="4">
        <v>3233</v>
      </c>
      <c r="H33" s="4"/>
      <c r="I33" s="4"/>
      <c r="J33" s="4" t="s">
        <v>264</v>
      </c>
    </row>
    <row r="34" spans="1:10" x14ac:dyDescent="0.25">
      <c r="A34" s="4">
        <v>8202192895</v>
      </c>
      <c r="B34" s="4" t="s">
        <v>39</v>
      </c>
      <c r="C34" s="4"/>
      <c r="D34" s="4" t="s">
        <v>295</v>
      </c>
      <c r="E34" s="4">
        <v>9507150233</v>
      </c>
      <c r="F34" s="4">
        <v>1297</v>
      </c>
      <c r="G34" s="4">
        <v>3131</v>
      </c>
      <c r="H34" s="4"/>
      <c r="I34" s="4"/>
      <c r="J34" s="4" t="s">
        <v>264</v>
      </c>
    </row>
    <row r="35" spans="1:10" x14ac:dyDescent="0.25">
      <c r="A35" s="4">
        <v>7701911603</v>
      </c>
      <c r="B35" s="4" t="s">
        <v>40</v>
      </c>
      <c r="C35" s="4"/>
      <c r="D35" s="4" t="s">
        <v>296</v>
      </c>
      <c r="E35" s="4">
        <v>8384021596</v>
      </c>
      <c r="F35" s="4">
        <v>856</v>
      </c>
      <c r="G35" s="4">
        <v>3130</v>
      </c>
      <c r="H35" s="4"/>
      <c r="I35" s="4"/>
      <c r="J35" s="4" t="s">
        <v>264</v>
      </c>
    </row>
    <row r="36" spans="1:10" x14ac:dyDescent="0.25">
      <c r="A36" s="4">
        <v>5340497735</v>
      </c>
      <c r="B36" s="4" t="s">
        <v>41</v>
      </c>
      <c r="C36" s="4"/>
      <c r="D36" s="4" t="s">
        <v>41</v>
      </c>
      <c r="E36" s="4">
        <v>9608210185</v>
      </c>
      <c r="F36" s="4">
        <v>866</v>
      </c>
      <c r="G36" s="4">
        <v>3126</v>
      </c>
      <c r="H36" s="4"/>
      <c r="I36" s="4"/>
      <c r="J36" s="4" t="s">
        <v>271</v>
      </c>
    </row>
    <row r="37" spans="1:10" x14ac:dyDescent="0.25">
      <c r="A37" s="4">
        <v>4627553372</v>
      </c>
      <c r="B37" s="4" t="s">
        <v>42</v>
      </c>
      <c r="C37" s="4"/>
      <c r="D37" s="4" t="s">
        <v>297</v>
      </c>
      <c r="E37" s="4">
        <v>9835930215</v>
      </c>
      <c r="F37" s="4">
        <v>826</v>
      </c>
      <c r="G37" s="4">
        <v>3936</v>
      </c>
      <c r="H37" s="4"/>
      <c r="I37" s="4"/>
      <c r="J37" s="4" t="s">
        <v>264</v>
      </c>
    </row>
    <row r="38" spans="1:10" x14ac:dyDescent="0.25">
      <c r="A38" s="4">
        <v>1206150772</v>
      </c>
      <c r="B38" s="4" t="s">
        <v>43</v>
      </c>
      <c r="C38" s="4"/>
      <c r="D38" s="4" t="s">
        <v>298</v>
      </c>
      <c r="E38" s="4">
        <v>9905121910</v>
      </c>
      <c r="F38" s="4">
        <v>837</v>
      </c>
      <c r="G38" s="4">
        <v>3129</v>
      </c>
      <c r="H38" s="4"/>
      <c r="I38" s="4"/>
      <c r="J38" s="4" t="s">
        <v>264</v>
      </c>
    </row>
    <row r="39" spans="1:10" x14ac:dyDescent="0.25">
      <c r="A39" s="4">
        <v>3768733861</v>
      </c>
      <c r="B39" s="4" t="s">
        <v>44</v>
      </c>
      <c r="C39" s="4" t="str">
        <f>VLOOKUP(A39,[1]Tatanagar!$E:$J,6,FALSE)</f>
        <v>jh.bdg</v>
      </c>
      <c r="D39" s="4" t="s">
        <v>299</v>
      </c>
      <c r="E39" s="4">
        <v>9279279633</v>
      </c>
      <c r="F39" s="4">
        <v>844</v>
      </c>
      <c r="G39" s="4">
        <v>3963</v>
      </c>
      <c r="H39" s="4" t="str">
        <f>VLOOKUP(A39,[1]Tatanagar!$E:$N,10,FALSE)</f>
        <v>Ghatsila Switch Port no. 6, Switch IP: 173.17.158.228</v>
      </c>
      <c r="I39" s="4"/>
      <c r="J39" s="4" t="s">
        <v>271</v>
      </c>
    </row>
    <row r="40" spans="1:10" x14ac:dyDescent="0.25">
      <c r="A40" s="4">
        <v>5594680250</v>
      </c>
      <c r="B40" s="4" t="s">
        <v>45</v>
      </c>
      <c r="C40" s="4" t="str">
        <f>VLOOKUP(A40,[1]Tatanagar!$E:$J,6,FALSE)</f>
        <v>jh.sri.aditi</v>
      </c>
      <c r="D40" s="4" t="s">
        <v>45</v>
      </c>
      <c r="E40" s="4">
        <v>9934354608</v>
      </c>
      <c r="F40" s="4">
        <v>890</v>
      </c>
      <c r="G40" s="4">
        <v>3901</v>
      </c>
      <c r="H40" s="4" t="str">
        <f>VLOOKUP(A40,[1]Tatanagar!$E:$N,10,FALSE)</f>
        <v>TATA RailTel POP Switch Port no. 16</v>
      </c>
      <c r="I40" s="4"/>
      <c r="J40" s="4" t="s">
        <v>271</v>
      </c>
    </row>
    <row r="41" spans="1:10" x14ac:dyDescent="0.25">
      <c r="A41" s="4">
        <v>6845830570</v>
      </c>
      <c r="B41" s="4" t="s">
        <v>46</v>
      </c>
      <c r="C41" s="4"/>
      <c r="D41" s="4" t="s">
        <v>300</v>
      </c>
      <c r="E41" s="4">
        <v>9955599125</v>
      </c>
      <c r="F41" s="4">
        <v>806</v>
      </c>
      <c r="G41" s="4">
        <v>132</v>
      </c>
      <c r="H41" s="4"/>
      <c r="I41" s="4"/>
      <c r="J41" s="4" t="s">
        <v>271</v>
      </c>
    </row>
    <row r="42" spans="1:10" x14ac:dyDescent="0.25">
      <c r="A42" s="4">
        <v>3913334537</v>
      </c>
      <c r="B42" s="4" t="s">
        <v>47</v>
      </c>
      <c r="C42" s="4"/>
      <c r="D42" s="4" t="s">
        <v>301</v>
      </c>
      <c r="E42" s="4">
        <v>9905330091</v>
      </c>
      <c r="F42" s="4">
        <v>1303</v>
      </c>
      <c r="G42" s="4">
        <v>3931</v>
      </c>
      <c r="H42" s="4"/>
      <c r="I42" s="4"/>
      <c r="J42" s="4" t="s">
        <v>271</v>
      </c>
    </row>
    <row r="43" spans="1:10" x14ac:dyDescent="0.25">
      <c r="A43" s="4">
        <v>6669858999</v>
      </c>
      <c r="B43" s="4" t="s">
        <v>48</v>
      </c>
      <c r="C43" s="4"/>
      <c r="D43" s="4" t="s">
        <v>302</v>
      </c>
      <c r="E43" s="4">
        <v>9386158889</v>
      </c>
      <c r="F43" s="4">
        <v>841</v>
      </c>
      <c r="G43" s="4">
        <v>2937</v>
      </c>
      <c r="H43" s="4"/>
      <c r="I43" s="4"/>
      <c r="J43" s="4" t="s">
        <v>264</v>
      </c>
    </row>
    <row r="44" spans="1:10" x14ac:dyDescent="0.25">
      <c r="A44" s="4">
        <v>3332842006</v>
      </c>
      <c r="B44" s="4" t="s">
        <v>50</v>
      </c>
      <c r="C44" s="4"/>
      <c r="D44" s="4" t="s">
        <v>303</v>
      </c>
      <c r="E44" s="4">
        <v>9996130478</v>
      </c>
      <c r="F44" s="4">
        <v>765</v>
      </c>
      <c r="G44" s="4">
        <v>3154</v>
      </c>
      <c r="H44" s="4"/>
      <c r="I44" s="4"/>
      <c r="J44" s="4" t="s">
        <v>271</v>
      </c>
    </row>
    <row r="45" spans="1:10" x14ac:dyDescent="0.25">
      <c r="A45" s="4">
        <v>5380942201</v>
      </c>
      <c r="B45" s="4" t="s">
        <v>51</v>
      </c>
      <c r="C45" s="4"/>
      <c r="D45" s="4" t="s">
        <v>304</v>
      </c>
      <c r="E45" s="4">
        <v>8210756126</v>
      </c>
      <c r="F45" s="4">
        <v>825</v>
      </c>
      <c r="G45" s="4">
        <v>3200</v>
      </c>
      <c r="H45" s="4"/>
      <c r="I45" s="4"/>
      <c r="J45" s="4" t="s">
        <v>267</v>
      </c>
    </row>
    <row r="46" spans="1:10" x14ac:dyDescent="0.25">
      <c r="A46" s="4">
        <v>8309797193</v>
      </c>
      <c r="B46" s="4" t="s">
        <v>52</v>
      </c>
      <c r="C46" s="4"/>
      <c r="D46" s="4" t="s">
        <v>305</v>
      </c>
      <c r="E46" s="4">
        <v>9073775196</v>
      </c>
      <c r="F46" s="4">
        <v>656</v>
      </c>
      <c r="G46" s="4">
        <v>201</v>
      </c>
      <c r="H46" s="4"/>
      <c r="I46" s="4"/>
      <c r="J46" s="4" t="s">
        <v>264</v>
      </c>
    </row>
    <row r="47" spans="1:10" x14ac:dyDescent="0.25">
      <c r="A47" s="4">
        <v>8683445897</v>
      </c>
      <c r="B47" s="4" t="s">
        <v>53</v>
      </c>
      <c r="C47" s="4"/>
      <c r="D47" s="4" t="s">
        <v>306</v>
      </c>
      <c r="E47" s="4">
        <v>8877046844</v>
      </c>
      <c r="F47" s="4">
        <v>765</v>
      </c>
      <c r="G47" s="4">
        <v>3230</v>
      </c>
      <c r="H47" s="4"/>
      <c r="I47" s="4"/>
      <c r="J47" s="4" t="s">
        <v>271</v>
      </c>
    </row>
    <row r="48" spans="1:10" x14ac:dyDescent="0.25">
      <c r="A48" s="4">
        <v>5396792463</v>
      </c>
      <c r="B48" s="4" t="s">
        <v>54</v>
      </c>
      <c r="C48" s="4"/>
      <c r="D48" s="4" t="s">
        <v>307</v>
      </c>
      <c r="E48" s="4">
        <v>9835177850</v>
      </c>
      <c r="F48" s="4">
        <v>882</v>
      </c>
      <c r="G48" s="4">
        <v>3234</v>
      </c>
      <c r="H48" s="4"/>
      <c r="I48" s="4"/>
      <c r="J48" s="4" t="s">
        <v>264</v>
      </c>
    </row>
    <row r="49" spans="1:10" x14ac:dyDescent="0.25">
      <c r="A49" s="4">
        <v>3675751664</v>
      </c>
      <c r="B49" s="4" t="s">
        <v>55</v>
      </c>
      <c r="C49" s="4"/>
      <c r="D49" s="4" t="s">
        <v>308</v>
      </c>
      <c r="E49" s="4">
        <v>8789927358</v>
      </c>
      <c r="F49" s="4">
        <v>1303</v>
      </c>
      <c r="G49" s="4">
        <v>3145</v>
      </c>
      <c r="H49" s="4"/>
      <c r="I49" s="4"/>
      <c r="J49" s="4" t="s">
        <v>271</v>
      </c>
    </row>
    <row r="50" spans="1:10" x14ac:dyDescent="0.25">
      <c r="A50" s="4">
        <v>3423963007</v>
      </c>
      <c r="B50" s="4" t="s">
        <v>56</v>
      </c>
      <c r="C50" s="4"/>
      <c r="D50" s="4" t="s">
        <v>309</v>
      </c>
      <c r="E50" s="4">
        <v>9431552726</v>
      </c>
      <c r="F50" s="4">
        <v>878</v>
      </c>
      <c r="G50" s="4">
        <v>3144</v>
      </c>
      <c r="H50" s="4"/>
      <c r="I50" s="4"/>
      <c r="J50" s="4" t="s">
        <v>264</v>
      </c>
    </row>
    <row r="51" spans="1:10" x14ac:dyDescent="0.25">
      <c r="A51" s="4">
        <v>6666517538</v>
      </c>
      <c r="B51" s="4" t="s">
        <v>57</v>
      </c>
      <c r="C51" s="4"/>
      <c r="D51" s="4" t="s">
        <v>310</v>
      </c>
      <c r="E51" s="4">
        <v>7004451454</v>
      </c>
      <c r="F51" s="4">
        <v>805</v>
      </c>
      <c r="G51" s="4">
        <v>3848</v>
      </c>
      <c r="H51" s="4"/>
      <c r="I51" s="4"/>
      <c r="J51" s="4" t="s">
        <v>271</v>
      </c>
    </row>
    <row r="52" spans="1:10" x14ac:dyDescent="0.25">
      <c r="A52" s="4">
        <v>2537795461</v>
      </c>
      <c r="B52" s="4" t="s">
        <v>58</v>
      </c>
      <c r="C52" s="4"/>
      <c r="D52" s="4" t="s">
        <v>311</v>
      </c>
      <c r="E52" s="4">
        <v>8789505553</v>
      </c>
      <c r="F52" s="4">
        <v>804</v>
      </c>
      <c r="G52" s="4">
        <v>3837</v>
      </c>
      <c r="H52" s="4"/>
      <c r="I52" s="4"/>
      <c r="J52" s="4" t="s">
        <v>271</v>
      </c>
    </row>
    <row r="53" spans="1:10" x14ac:dyDescent="0.25">
      <c r="A53" s="4">
        <v>6369649510</v>
      </c>
      <c r="B53" s="4" t="s">
        <v>59</v>
      </c>
      <c r="C53" s="4"/>
      <c r="D53" s="4" t="s">
        <v>312</v>
      </c>
      <c r="E53" s="4">
        <v>7070093334</v>
      </c>
      <c r="F53" s="4">
        <v>882</v>
      </c>
      <c r="G53" s="4">
        <v>116</v>
      </c>
      <c r="H53" s="4"/>
      <c r="I53" s="4"/>
      <c r="J53" s="4" t="s">
        <v>264</v>
      </c>
    </row>
    <row r="54" spans="1:10" x14ac:dyDescent="0.25">
      <c r="A54" s="4">
        <v>3990514466</v>
      </c>
      <c r="B54" s="4" t="s">
        <v>41</v>
      </c>
      <c r="C54" s="4"/>
      <c r="D54" s="4" t="s">
        <v>41</v>
      </c>
      <c r="E54" s="4">
        <v>9608759216</v>
      </c>
      <c r="F54" s="4">
        <v>882</v>
      </c>
      <c r="G54" s="4">
        <v>3151</v>
      </c>
      <c r="H54" s="4"/>
      <c r="I54" s="4"/>
      <c r="J54" s="4" t="s">
        <v>264</v>
      </c>
    </row>
    <row r="55" spans="1:10" x14ac:dyDescent="0.25">
      <c r="A55" s="4">
        <v>2462666533</v>
      </c>
      <c r="B55" s="4" t="s">
        <v>60</v>
      </c>
      <c r="C55" s="4"/>
      <c r="D55" s="4" t="s">
        <v>313</v>
      </c>
      <c r="E55" s="4">
        <v>9955363623</v>
      </c>
      <c r="F55" s="4">
        <v>882</v>
      </c>
      <c r="G55" s="4">
        <v>3152</v>
      </c>
      <c r="H55" s="4"/>
      <c r="I55" s="4"/>
      <c r="J55" s="4" t="s">
        <v>264</v>
      </c>
    </row>
    <row r="56" spans="1:10" x14ac:dyDescent="0.25">
      <c r="A56" s="4">
        <v>3405422707</v>
      </c>
      <c r="B56" s="4" t="s">
        <v>61</v>
      </c>
      <c r="C56" s="4"/>
      <c r="D56" s="4" t="s">
        <v>314</v>
      </c>
      <c r="E56" s="4">
        <v>9304211966</v>
      </c>
      <c r="F56" s="4">
        <v>870</v>
      </c>
      <c r="G56" s="4">
        <v>3161</v>
      </c>
      <c r="H56" s="4"/>
      <c r="I56" s="4"/>
      <c r="J56" s="4" t="s">
        <v>264</v>
      </c>
    </row>
    <row r="57" spans="1:10" x14ac:dyDescent="0.25">
      <c r="A57" s="4">
        <v>1121263937</v>
      </c>
      <c r="B57" s="4" t="s">
        <v>62</v>
      </c>
      <c r="C57" s="4"/>
      <c r="D57" s="4" t="s">
        <v>315</v>
      </c>
      <c r="E57" s="4">
        <v>7209782844</v>
      </c>
      <c r="F57" s="4">
        <v>870</v>
      </c>
      <c r="G57" s="4">
        <v>3979</v>
      </c>
      <c r="H57" s="4"/>
      <c r="I57" s="4"/>
      <c r="J57" s="4" t="s">
        <v>264</v>
      </c>
    </row>
    <row r="58" spans="1:10" x14ac:dyDescent="0.25">
      <c r="A58" s="4">
        <v>5909201840</v>
      </c>
      <c r="B58" s="4" t="s">
        <v>63</v>
      </c>
      <c r="C58" s="4"/>
      <c r="D58" s="4" t="s">
        <v>316</v>
      </c>
      <c r="E58" s="4">
        <v>8825116361</v>
      </c>
      <c r="F58" s="4">
        <v>656</v>
      </c>
      <c r="G58" s="4">
        <v>202</v>
      </c>
      <c r="H58" s="4"/>
      <c r="I58" s="4"/>
      <c r="J58" s="4" t="s">
        <v>264</v>
      </c>
    </row>
    <row r="59" spans="1:10" x14ac:dyDescent="0.25">
      <c r="A59" s="4">
        <v>2221835971</v>
      </c>
      <c r="B59" s="4" t="s">
        <v>64</v>
      </c>
      <c r="C59" s="4"/>
      <c r="D59" s="4" t="s">
        <v>317</v>
      </c>
      <c r="E59" s="4">
        <v>9031313032</v>
      </c>
      <c r="F59" s="4">
        <v>1303</v>
      </c>
      <c r="G59" s="4">
        <v>3217</v>
      </c>
      <c r="H59" s="4"/>
      <c r="I59" s="4"/>
      <c r="J59" s="4" t="s">
        <v>271</v>
      </c>
    </row>
    <row r="60" spans="1:10" x14ac:dyDescent="0.25">
      <c r="A60" s="4">
        <v>3460482331</v>
      </c>
      <c r="B60" s="4" t="s">
        <v>65</v>
      </c>
      <c r="C60" s="4"/>
      <c r="D60" s="4" t="s">
        <v>318</v>
      </c>
      <c r="E60" s="4">
        <v>9431971709</v>
      </c>
      <c r="F60" s="4">
        <v>1284</v>
      </c>
      <c r="G60" s="4">
        <v>3163</v>
      </c>
      <c r="H60" s="4"/>
      <c r="I60" s="4"/>
      <c r="J60" s="4" t="s">
        <v>267</v>
      </c>
    </row>
    <row r="61" spans="1:10" x14ac:dyDescent="0.25">
      <c r="A61" s="4">
        <v>2952499748</v>
      </c>
      <c r="B61" s="4" t="s">
        <v>66</v>
      </c>
      <c r="C61" s="4"/>
      <c r="D61" s="4" t="s">
        <v>319</v>
      </c>
      <c r="E61" s="4">
        <v>9123152130</v>
      </c>
      <c r="F61" s="4">
        <v>817</v>
      </c>
      <c r="G61" s="4">
        <v>3262</v>
      </c>
      <c r="H61" s="4"/>
      <c r="I61" s="4"/>
      <c r="J61" s="4" t="s">
        <v>264</v>
      </c>
    </row>
    <row r="62" spans="1:10" x14ac:dyDescent="0.25">
      <c r="A62" s="4">
        <v>8932426014</v>
      </c>
      <c r="B62" s="4" t="s">
        <v>67</v>
      </c>
      <c r="C62" s="4"/>
      <c r="D62" s="4" t="s">
        <v>320</v>
      </c>
      <c r="E62" s="4">
        <v>9431297531</v>
      </c>
      <c r="F62" s="4">
        <v>871</v>
      </c>
      <c r="G62" s="4">
        <v>3231</v>
      </c>
      <c r="H62" s="4"/>
      <c r="I62" s="4"/>
      <c r="J62" s="4" t="s">
        <v>264</v>
      </c>
    </row>
    <row r="63" spans="1:10" x14ac:dyDescent="0.25">
      <c r="A63" s="4">
        <v>9054357395</v>
      </c>
      <c r="B63" s="4" t="s">
        <v>68</v>
      </c>
      <c r="C63" s="4"/>
      <c r="D63" s="4" t="s">
        <v>68</v>
      </c>
      <c r="E63" s="4">
        <v>9931767021</v>
      </c>
      <c r="F63" s="4">
        <v>765</v>
      </c>
      <c r="G63" s="4">
        <v>3228</v>
      </c>
      <c r="H63" s="4"/>
      <c r="I63" s="4"/>
      <c r="J63" s="4" t="s">
        <v>271</v>
      </c>
    </row>
    <row r="64" spans="1:10" x14ac:dyDescent="0.25">
      <c r="A64" s="4">
        <v>3160865300</v>
      </c>
      <c r="B64" s="4" t="s">
        <v>69</v>
      </c>
      <c r="C64" s="4"/>
      <c r="D64" s="4" t="s">
        <v>321</v>
      </c>
      <c r="E64" s="4">
        <v>7542920732</v>
      </c>
      <c r="F64" s="4">
        <v>765</v>
      </c>
      <c r="G64" s="4">
        <v>3230</v>
      </c>
      <c r="H64" s="4"/>
      <c r="I64" s="4"/>
      <c r="J64" s="4" t="s">
        <v>271</v>
      </c>
    </row>
    <row r="65" spans="1:10" x14ac:dyDescent="0.25">
      <c r="A65" s="4">
        <v>7331127189</v>
      </c>
      <c r="B65" s="4" t="s">
        <v>70</v>
      </c>
      <c r="C65" s="4"/>
      <c r="D65" s="4" t="s">
        <v>322</v>
      </c>
      <c r="E65" s="4">
        <v>8709872542</v>
      </c>
      <c r="F65" s="4">
        <v>1303</v>
      </c>
      <c r="G65" s="4">
        <v>3869</v>
      </c>
      <c r="H65" s="4"/>
      <c r="I65" s="4"/>
      <c r="J65" s="4" t="s">
        <v>271</v>
      </c>
    </row>
    <row r="66" spans="1:10" x14ac:dyDescent="0.25">
      <c r="A66" s="4">
        <v>6861139517</v>
      </c>
      <c r="B66" s="4" t="s">
        <v>71</v>
      </c>
      <c r="C66" s="4"/>
      <c r="D66" s="4" t="s">
        <v>323</v>
      </c>
      <c r="E66" s="4">
        <v>8709270950</v>
      </c>
      <c r="F66" s="4">
        <v>836</v>
      </c>
      <c r="G66" s="4">
        <v>3197</v>
      </c>
      <c r="H66" s="4"/>
      <c r="I66" s="4"/>
      <c r="J66" s="4" t="s">
        <v>271</v>
      </c>
    </row>
    <row r="67" spans="1:10" x14ac:dyDescent="0.25">
      <c r="A67" s="4">
        <v>3801997259</v>
      </c>
      <c r="B67" s="4" t="s">
        <v>72</v>
      </c>
      <c r="C67" s="4"/>
      <c r="D67" s="4" t="s">
        <v>324</v>
      </c>
      <c r="E67" s="4">
        <v>7481024818</v>
      </c>
      <c r="F67" s="4">
        <v>843</v>
      </c>
      <c r="G67" s="4">
        <v>3224</v>
      </c>
      <c r="H67" s="4"/>
      <c r="I67" s="4"/>
      <c r="J67" s="4" t="s">
        <v>264</v>
      </c>
    </row>
    <row r="68" spans="1:10" x14ac:dyDescent="0.25">
      <c r="A68" s="4">
        <v>4144165211</v>
      </c>
      <c r="B68" s="4" t="s">
        <v>73</v>
      </c>
      <c r="C68" s="4"/>
      <c r="D68" s="4" t="s">
        <v>325</v>
      </c>
      <c r="E68" s="4">
        <v>9430300409</v>
      </c>
      <c r="F68" s="4">
        <v>847</v>
      </c>
      <c r="G68" s="4">
        <v>3212</v>
      </c>
      <c r="H68" s="4"/>
      <c r="I68" s="4"/>
      <c r="J68" s="4" t="s">
        <v>264</v>
      </c>
    </row>
    <row r="69" spans="1:10" x14ac:dyDescent="0.25">
      <c r="A69" s="4">
        <v>7724015493</v>
      </c>
      <c r="B69" s="4" t="s">
        <v>74</v>
      </c>
      <c r="C69" s="4"/>
      <c r="D69" s="4" t="s">
        <v>326</v>
      </c>
      <c r="E69" s="4">
        <v>8092869255</v>
      </c>
      <c r="F69" s="4">
        <v>1284</v>
      </c>
      <c r="G69" s="4">
        <v>3208</v>
      </c>
      <c r="H69" s="4"/>
      <c r="I69" s="4"/>
      <c r="J69" s="4" t="s">
        <v>267</v>
      </c>
    </row>
    <row r="70" spans="1:10" x14ac:dyDescent="0.25">
      <c r="A70" s="4">
        <v>1862461218</v>
      </c>
      <c r="B70" s="4" t="s">
        <v>75</v>
      </c>
      <c r="C70" s="4"/>
      <c r="D70" s="4" t="s">
        <v>327</v>
      </c>
      <c r="E70" s="4">
        <v>9832922501</v>
      </c>
      <c r="F70" s="4">
        <v>1238</v>
      </c>
      <c r="G70" s="4">
        <v>3248</v>
      </c>
      <c r="H70" s="4"/>
      <c r="I70" s="4"/>
      <c r="J70" s="4" t="s">
        <v>271</v>
      </c>
    </row>
    <row r="71" spans="1:10" x14ac:dyDescent="0.25">
      <c r="A71" s="4">
        <v>1247399268</v>
      </c>
      <c r="B71" s="4" t="s">
        <v>76</v>
      </c>
      <c r="C71" s="4"/>
      <c r="D71" s="4" t="s">
        <v>328</v>
      </c>
      <c r="E71" s="4">
        <v>8789047661</v>
      </c>
      <c r="F71" s="4">
        <v>867</v>
      </c>
      <c r="G71" s="4">
        <v>3210</v>
      </c>
      <c r="H71" s="4"/>
      <c r="I71" s="4"/>
      <c r="J71" s="4" t="s">
        <v>264</v>
      </c>
    </row>
    <row r="72" spans="1:10" x14ac:dyDescent="0.25">
      <c r="A72" s="4">
        <v>8727464701</v>
      </c>
      <c r="B72" s="4" t="s">
        <v>77</v>
      </c>
      <c r="C72" s="4" t="str">
        <f>VLOOKUP(A72,[1]Tatanagar!$E:$J,6,FALSE)</f>
        <v>jh.cfn / jh.ckp</v>
      </c>
      <c r="D72" s="4" t="s">
        <v>329</v>
      </c>
      <c r="E72" s="4">
        <v>9142397454</v>
      </c>
      <c r="F72" s="4">
        <v>886</v>
      </c>
      <c r="G72" s="4">
        <v>3189</v>
      </c>
      <c r="H72" s="4" t="str">
        <f>VLOOKUP(A72,[1]Tatanagar!$E:$N,10,FALSE)</f>
        <v>Chakradharpur (CKP) BB Switch Port no. 4</v>
      </c>
      <c r="I72" s="4"/>
      <c r="J72" s="4" t="s">
        <v>270</v>
      </c>
    </row>
    <row r="73" spans="1:10" x14ac:dyDescent="0.25">
      <c r="A73" s="4">
        <v>2638563833</v>
      </c>
      <c r="B73" s="4" t="s">
        <v>78</v>
      </c>
      <c r="C73" s="4"/>
      <c r="D73" s="4" t="s">
        <v>330</v>
      </c>
      <c r="E73" s="4">
        <v>7004457309</v>
      </c>
      <c r="F73" s="4">
        <v>826</v>
      </c>
      <c r="G73" s="4">
        <v>3198</v>
      </c>
      <c r="H73" s="4"/>
      <c r="I73" s="4"/>
      <c r="J73" s="4" t="s">
        <v>264</v>
      </c>
    </row>
    <row r="74" spans="1:10" x14ac:dyDescent="0.25">
      <c r="A74" s="4">
        <v>3588658820</v>
      </c>
      <c r="B74" s="4" t="s">
        <v>79</v>
      </c>
      <c r="C74" s="4"/>
      <c r="D74" s="4" t="s">
        <v>79</v>
      </c>
      <c r="E74" s="4">
        <v>7808959782</v>
      </c>
      <c r="F74" s="4">
        <v>882</v>
      </c>
      <c r="G74" s="4">
        <v>3872</v>
      </c>
      <c r="H74" s="4"/>
      <c r="I74" s="4"/>
      <c r="J74" s="4" t="s">
        <v>264</v>
      </c>
    </row>
    <row r="75" spans="1:10" x14ac:dyDescent="0.25">
      <c r="A75" s="4">
        <v>3716294237</v>
      </c>
      <c r="B75" s="4" t="s">
        <v>80</v>
      </c>
      <c r="C75" s="4"/>
      <c r="D75" s="4" t="s">
        <v>331</v>
      </c>
      <c r="E75" s="4">
        <v>8986865449</v>
      </c>
      <c r="F75" s="4">
        <v>878</v>
      </c>
      <c r="G75" s="4">
        <v>3267</v>
      </c>
      <c r="H75" s="4"/>
      <c r="I75" s="4"/>
      <c r="J75" s="4" t="s">
        <v>264</v>
      </c>
    </row>
    <row r="76" spans="1:10" x14ac:dyDescent="0.25">
      <c r="A76" s="4">
        <v>1840251248</v>
      </c>
      <c r="B76" s="4" t="s">
        <v>81</v>
      </c>
      <c r="C76" s="4"/>
      <c r="D76" s="4" t="s">
        <v>332</v>
      </c>
      <c r="E76" s="4">
        <v>8294034149</v>
      </c>
      <c r="F76" s="4">
        <v>1249</v>
      </c>
      <c r="G76" s="4">
        <v>3171</v>
      </c>
      <c r="H76" s="4"/>
      <c r="I76" s="4"/>
      <c r="J76" s="4" t="s">
        <v>271</v>
      </c>
    </row>
    <row r="77" spans="1:10" x14ac:dyDescent="0.25">
      <c r="A77" s="4">
        <v>6002720782</v>
      </c>
      <c r="B77" s="4" t="s">
        <v>82</v>
      </c>
      <c r="C77" s="4"/>
      <c r="D77" s="4" t="s">
        <v>333</v>
      </c>
      <c r="E77" s="4">
        <v>9835161443</v>
      </c>
      <c r="F77" s="4">
        <v>1303</v>
      </c>
      <c r="G77" s="4">
        <v>3166</v>
      </c>
      <c r="H77" s="4"/>
      <c r="I77" s="4"/>
      <c r="J77" s="4" t="s">
        <v>271</v>
      </c>
    </row>
    <row r="78" spans="1:10" x14ac:dyDescent="0.25">
      <c r="A78" s="4">
        <v>1678820666</v>
      </c>
      <c r="B78" s="4" t="s">
        <v>83</v>
      </c>
      <c r="C78" s="4"/>
      <c r="D78" s="4" t="s">
        <v>83</v>
      </c>
      <c r="E78" s="4">
        <v>7004040787</v>
      </c>
      <c r="F78" s="4">
        <v>877</v>
      </c>
      <c r="G78" s="4">
        <v>3176</v>
      </c>
      <c r="H78" s="4"/>
      <c r="I78" s="4"/>
      <c r="J78" s="4" t="s">
        <v>264</v>
      </c>
    </row>
    <row r="79" spans="1:10" x14ac:dyDescent="0.25">
      <c r="A79" s="4">
        <v>7287898259</v>
      </c>
      <c r="B79" s="4" t="s">
        <v>84</v>
      </c>
      <c r="C79" s="4"/>
      <c r="D79" s="4" t="s">
        <v>334</v>
      </c>
      <c r="E79" s="4">
        <v>7209643652</v>
      </c>
      <c r="F79" s="4">
        <v>596</v>
      </c>
      <c r="G79" s="4">
        <v>3823</v>
      </c>
      <c r="H79" s="4"/>
      <c r="I79" s="4"/>
      <c r="J79" s="4" t="s">
        <v>264</v>
      </c>
    </row>
    <row r="80" spans="1:10" x14ac:dyDescent="0.25">
      <c r="A80" s="4">
        <v>7065715198</v>
      </c>
      <c r="B80" s="4" t="s">
        <v>85</v>
      </c>
      <c r="C80" s="4"/>
      <c r="D80" s="4" t="s">
        <v>335</v>
      </c>
      <c r="E80" s="4">
        <v>9304932731</v>
      </c>
      <c r="F80" s="4">
        <v>1284</v>
      </c>
      <c r="G80" s="4">
        <v>3181</v>
      </c>
      <c r="H80" s="4"/>
      <c r="I80" s="4"/>
      <c r="J80" s="4" t="s">
        <v>267</v>
      </c>
    </row>
    <row r="81" spans="1:10" x14ac:dyDescent="0.25">
      <c r="A81" s="4">
        <v>6335045168</v>
      </c>
      <c r="B81" s="4" t="s">
        <v>86</v>
      </c>
      <c r="C81" s="4" t="str">
        <f>VLOOKUP(A81,[1]Tatanagar!$E:$J,6,FALSE)</f>
        <v>jh.maiss</v>
      </c>
      <c r="D81" s="4" t="s">
        <v>336</v>
      </c>
      <c r="E81" s="4">
        <v>6207777925</v>
      </c>
      <c r="F81" s="4">
        <v>885</v>
      </c>
      <c r="G81" s="4">
        <v>3167</v>
      </c>
      <c r="H81" s="4" t="str">
        <f>VLOOKUP(A81,[1]Tatanagar!$E:$N,10,FALSE)</f>
        <v>SINI Switch Port no. 4</v>
      </c>
      <c r="I81" s="4"/>
      <c r="J81" s="4" t="s">
        <v>264</v>
      </c>
    </row>
    <row r="82" spans="1:10" x14ac:dyDescent="0.25">
      <c r="A82" s="4">
        <v>7689886031</v>
      </c>
      <c r="B82" s="4" t="s">
        <v>87</v>
      </c>
      <c r="C82" s="4"/>
      <c r="D82" s="4" t="s">
        <v>87</v>
      </c>
      <c r="E82" s="4">
        <v>9122784236</v>
      </c>
      <c r="F82" s="4">
        <v>1221</v>
      </c>
      <c r="G82" s="4">
        <v>3845</v>
      </c>
      <c r="H82" s="4"/>
      <c r="I82" s="4"/>
      <c r="J82" s="4" t="s">
        <v>264</v>
      </c>
    </row>
    <row r="83" spans="1:10" x14ac:dyDescent="0.25">
      <c r="A83" s="4">
        <v>4936533775</v>
      </c>
      <c r="B83" s="4" t="s">
        <v>18</v>
      </c>
      <c r="C83" s="4"/>
      <c r="D83" s="4" t="s">
        <v>18</v>
      </c>
      <c r="E83" s="4">
        <v>9931178084</v>
      </c>
      <c r="F83" s="4">
        <v>1221</v>
      </c>
      <c r="G83" s="4">
        <v>3193</v>
      </c>
      <c r="H83" s="4"/>
      <c r="I83" s="4"/>
      <c r="J83" s="4" t="s">
        <v>264</v>
      </c>
    </row>
    <row r="84" spans="1:10" x14ac:dyDescent="0.25">
      <c r="A84" s="4">
        <v>4739759407</v>
      </c>
      <c r="B84" s="4" t="s">
        <v>88</v>
      </c>
      <c r="C84" s="4"/>
      <c r="D84" s="4" t="s">
        <v>337</v>
      </c>
      <c r="E84" s="4">
        <v>9470506249</v>
      </c>
      <c r="F84" s="4">
        <v>871</v>
      </c>
      <c r="G84" s="4">
        <v>3175</v>
      </c>
      <c r="H84" s="4"/>
      <c r="I84" s="4"/>
      <c r="J84" s="4" t="s">
        <v>264</v>
      </c>
    </row>
    <row r="85" spans="1:10" x14ac:dyDescent="0.25">
      <c r="A85" s="4">
        <v>4465648849</v>
      </c>
      <c r="B85" s="4" t="s">
        <v>89</v>
      </c>
      <c r="C85" s="4"/>
      <c r="D85" s="4" t="s">
        <v>338</v>
      </c>
      <c r="E85" s="4">
        <v>9031071171</v>
      </c>
      <c r="F85" s="4">
        <v>1303</v>
      </c>
      <c r="G85" s="4">
        <v>3897</v>
      </c>
      <c r="H85" s="4"/>
      <c r="I85" s="4"/>
      <c r="J85" s="4" t="s">
        <v>271</v>
      </c>
    </row>
    <row r="86" spans="1:10" x14ac:dyDescent="0.25">
      <c r="A86" s="4">
        <v>2095245686</v>
      </c>
      <c r="B86" s="4" t="s">
        <v>90</v>
      </c>
      <c r="C86" s="4"/>
      <c r="D86" s="4" t="s">
        <v>339</v>
      </c>
      <c r="E86" s="4">
        <v>6202363783</v>
      </c>
      <c r="F86" s="4">
        <v>871</v>
      </c>
      <c r="G86" s="4">
        <v>3260</v>
      </c>
      <c r="H86" s="4"/>
      <c r="I86" s="4"/>
      <c r="J86" s="4" t="s">
        <v>271</v>
      </c>
    </row>
    <row r="87" spans="1:10" x14ac:dyDescent="0.25">
      <c r="A87" s="4">
        <v>3447680219</v>
      </c>
      <c r="B87" s="4" t="s">
        <v>91</v>
      </c>
      <c r="C87" s="4"/>
      <c r="D87" s="4" t="s">
        <v>340</v>
      </c>
      <c r="E87" s="4">
        <v>9204057773</v>
      </c>
      <c r="F87" s="4">
        <v>874</v>
      </c>
      <c r="G87" s="4">
        <v>3288</v>
      </c>
      <c r="H87" s="4"/>
      <c r="I87" s="4"/>
      <c r="J87" s="4" t="s">
        <v>271</v>
      </c>
    </row>
    <row r="88" spans="1:10" x14ac:dyDescent="0.25">
      <c r="A88" s="4">
        <v>2194387274</v>
      </c>
      <c r="B88" s="4" t="s">
        <v>92</v>
      </c>
      <c r="C88" s="4"/>
      <c r="D88" s="4" t="s">
        <v>341</v>
      </c>
      <c r="E88" s="4">
        <v>9204639639</v>
      </c>
      <c r="F88" s="4">
        <v>874</v>
      </c>
      <c r="G88" s="4">
        <v>3803</v>
      </c>
      <c r="H88" s="4"/>
      <c r="I88" s="4"/>
      <c r="J88" s="4" t="s">
        <v>271</v>
      </c>
    </row>
    <row r="89" spans="1:10" x14ac:dyDescent="0.25">
      <c r="A89" s="4">
        <v>3687534280</v>
      </c>
      <c r="B89" s="4" t="s">
        <v>93</v>
      </c>
      <c r="C89" s="4" t="str">
        <f>VLOOKUP(A89,[1]Tatanagar!$E:$J,6,FALSE)</f>
        <v>jh.skc / jh.skcg</v>
      </c>
      <c r="D89" s="4" t="s">
        <v>93</v>
      </c>
      <c r="E89" s="4">
        <v>9234903988</v>
      </c>
      <c r="F89" s="4">
        <v>890</v>
      </c>
      <c r="G89" s="4">
        <v>3801</v>
      </c>
      <c r="H89" s="4" t="str">
        <f>VLOOKUP(A89,[1]Tatanagar!$E:$N,10,FALSE)</f>
        <v>SALGAJODI EAST // Need to Find Details</v>
      </c>
      <c r="I89" s="4"/>
      <c r="J89" s="4" t="s">
        <v>271</v>
      </c>
    </row>
    <row r="90" spans="1:10" x14ac:dyDescent="0.25">
      <c r="A90" s="4">
        <v>4628631077</v>
      </c>
      <c r="B90" s="4" t="s">
        <v>94</v>
      </c>
      <c r="C90" s="4"/>
      <c r="D90" s="4" t="s">
        <v>342</v>
      </c>
      <c r="E90" s="4">
        <v>7903925678</v>
      </c>
      <c r="F90" s="4">
        <v>870</v>
      </c>
      <c r="G90" s="4">
        <v>3236</v>
      </c>
      <c r="H90" s="4"/>
      <c r="I90" s="4"/>
      <c r="J90" s="4" t="s">
        <v>270</v>
      </c>
    </row>
    <row r="91" spans="1:10" x14ac:dyDescent="0.25">
      <c r="A91" s="4">
        <v>3403434409</v>
      </c>
      <c r="B91" s="4" t="s">
        <v>95</v>
      </c>
      <c r="C91" s="4"/>
      <c r="D91" s="4" t="s">
        <v>95</v>
      </c>
      <c r="E91" s="4">
        <v>7004148464</v>
      </c>
      <c r="F91" s="4">
        <v>823</v>
      </c>
      <c r="G91" s="4">
        <v>3203</v>
      </c>
      <c r="H91" s="4"/>
      <c r="I91" s="4"/>
      <c r="J91" s="4" t="s">
        <v>264</v>
      </c>
    </row>
    <row r="92" spans="1:10" x14ac:dyDescent="0.25">
      <c r="A92" s="4">
        <v>7082474913</v>
      </c>
      <c r="B92" s="4" t="s">
        <v>96</v>
      </c>
      <c r="C92" s="4" t="str">
        <f>VLOOKUP(A92,[1]Tatanagar!$E:$J,6,FALSE)</f>
        <v>jh.mks</v>
      </c>
      <c r="D92" s="4" t="s">
        <v>96</v>
      </c>
      <c r="E92" s="4">
        <v>8825101052</v>
      </c>
      <c r="F92" s="4">
        <v>885</v>
      </c>
      <c r="G92" s="4">
        <v>118</v>
      </c>
      <c r="H92" s="4" t="str">
        <f>VLOOKUP(A92,[1]Tatanagar!$E:$N,10,FALSE)</f>
        <v>TATA RailTel POP Switch Port no. 25</v>
      </c>
      <c r="I92" s="4"/>
      <c r="J92" s="4" t="s">
        <v>264</v>
      </c>
    </row>
    <row r="93" spans="1:10" x14ac:dyDescent="0.25">
      <c r="A93" s="4">
        <v>1293314852</v>
      </c>
      <c r="B93" s="4" t="s">
        <v>97</v>
      </c>
      <c r="C93" s="4"/>
      <c r="D93" s="4" t="s">
        <v>343</v>
      </c>
      <c r="E93" s="4">
        <v>9934365755</v>
      </c>
      <c r="F93" s="4">
        <v>715</v>
      </c>
      <c r="G93" s="4">
        <v>3205</v>
      </c>
      <c r="H93" s="4"/>
      <c r="I93" s="4"/>
      <c r="J93" s="4" t="s">
        <v>264</v>
      </c>
    </row>
    <row r="94" spans="1:10" x14ac:dyDescent="0.25">
      <c r="A94" s="4">
        <v>1419823187</v>
      </c>
      <c r="B94" s="4" t="s">
        <v>98</v>
      </c>
      <c r="C94" s="4" t="str">
        <f>VLOOKUP(A94,[1]Tatanagar!$E:$J,6,FALSE)</f>
        <v>jh.rgc</v>
      </c>
      <c r="D94" s="4" t="s">
        <v>344</v>
      </c>
      <c r="E94" s="4">
        <v>9931568322</v>
      </c>
      <c r="F94" s="4">
        <v>834</v>
      </c>
      <c r="G94" s="4">
        <v>3229</v>
      </c>
      <c r="H94" s="4" t="str">
        <f>VLOOKUP(A94,[1]Tatanagar!$E:$N,10,FALSE)</f>
        <v>Chandil JN OLT Port no. 6</v>
      </c>
      <c r="I94" s="4"/>
      <c r="J94" s="4" t="s">
        <v>271</v>
      </c>
    </row>
    <row r="95" spans="1:10" x14ac:dyDescent="0.25">
      <c r="A95" s="4">
        <v>4903357331</v>
      </c>
      <c r="B95" s="4" t="s">
        <v>99</v>
      </c>
      <c r="C95" s="4"/>
      <c r="D95" s="4" t="s">
        <v>345</v>
      </c>
      <c r="E95" s="4">
        <v>7004215297</v>
      </c>
      <c r="F95" s="4">
        <v>847</v>
      </c>
      <c r="G95" s="4">
        <v>3981</v>
      </c>
      <c r="H95" s="4"/>
      <c r="I95" s="4"/>
      <c r="J95" s="4" t="s">
        <v>264</v>
      </c>
    </row>
    <row r="96" spans="1:10" x14ac:dyDescent="0.25">
      <c r="A96" s="4">
        <v>8248798216</v>
      </c>
      <c r="B96" s="4" t="s">
        <v>100</v>
      </c>
      <c r="C96" s="4" t="str">
        <f>VLOOKUP(A96,[1]Tatanagar!$E:$J,6,FALSE)</f>
        <v>jh.mpk/ jh.mkp</v>
      </c>
      <c r="D96" s="4" t="s">
        <v>346</v>
      </c>
      <c r="E96" s="4">
        <v>8340226346</v>
      </c>
      <c r="F96" s="4">
        <v>890</v>
      </c>
      <c r="G96" s="4">
        <v>3279</v>
      </c>
      <c r="H96" s="4" t="str">
        <f>VLOOKUP(A96,[1]Tatanagar!$E:$N,10,FALSE)</f>
        <v>TATA DSW Switch Port no. 11, Switch IP: 10.255.255.2</v>
      </c>
      <c r="I96" s="4" t="str">
        <f>VLOOKUP(A96,[1]Tatanagar!$E:$O,11,FALSE)</f>
        <v>AGNP Switch Pratik Infotech</v>
      </c>
      <c r="J96" s="4" t="s">
        <v>271</v>
      </c>
    </row>
    <row r="97" spans="1:10" x14ac:dyDescent="0.25">
      <c r="A97" s="4">
        <v>7618390488</v>
      </c>
      <c r="B97" s="4" t="s">
        <v>101</v>
      </c>
      <c r="C97" s="4"/>
      <c r="D97" s="4" t="s">
        <v>347</v>
      </c>
      <c r="E97" s="4">
        <v>9431630402</v>
      </c>
      <c r="F97" s="4">
        <v>880</v>
      </c>
      <c r="G97" s="4">
        <v>3842</v>
      </c>
      <c r="H97" s="4"/>
      <c r="I97" s="4"/>
      <c r="J97" s="4" t="s">
        <v>264</v>
      </c>
    </row>
    <row r="98" spans="1:10" x14ac:dyDescent="0.25">
      <c r="A98" s="4">
        <v>5696997655</v>
      </c>
      <c r="B98" s="4" t="s">
        <v>102</v>
      </c>
      <c r="C98" s="4"/>
      <c r="D98" s="4" t="s">
        <v>348</v>
      </c>
      <c r="E98" s="4">
        <v>7909009544</v>
      </c>
      <c r="F98" s="4">
        <v>825</v>
      </c>
      <c r="G98" s="4">
        <v>3227</v>
      </c>
      <c r="H98" s="4"/>
      <c r="I98" s="4"/>
      <c r="J98" s="4" t="s">
        <v>267</v>
      </c>
    </row>
    <row r="99" spans="1:10" x14ac:dyDescent="0.25">
      <c r="A99" s="4">
        <v>6035251572</v>
      </c>
      <c r="B99" s="4" t="s">
        <v>103</v>
      </c>
      <c r="C99" s="4"/>
      <c r="D99" s="4" t="s">
        <v>349</v>
      </c>
      <c r="E99" s="4">
        <v>7004576952</v>
      </c>
      <c r="F99" s="4">
        <v>872</v>
      </c>
      <c r="G99" s="4">
        <v>3237</v>
      </c>
      <c r="H99" s="4"/>
      <c r="I99" s="4"/>
      <c r="J99" s="4" t="s">
        <v>264</v>
      </c>
    </row>
    <row r="100" spans="1:10" x14ac:dyDescent="0.25">
      <c r="A100" s="4">
        <v>7780599466</v>
      </c>
      <c r="B100" s="4" t="s">
        <v>104</v>
      </c>
      <c r="C100" s="4"/>
      <c r="D100" s="4" t="s">
        <v>350</v>
      </c>
      <c r="E100" s="4">
        <v>9431150571</v>
      </c>
      <c r="F100" s="4">
        <v>878</v>
      </c>
      <c r="G100" s="4">
        <v>3997</v>
      </c>
      <c r="H100" s="4"/>
      <c r="I100" s="4"/>
      <c r="J100" s="4" t="s">
        <v>271</v>
      </c>
    </row>
    <row r="101" spans="1:10" x14ac:dyDescent="0.25">
      <c r="A101" s="4">
        <v>4765437191</v>
      </c>
      <c r="B101" s="4" t="s">
        <v>105</v>
      </c>
      <c r="C101" s="4"/>
      <c r="D101" s="4" t="s">
        <v>351</v>
      </c>
      <c r="E101" s="4">
        <v>8298970222</v>
      </c>
      <c r="F101" s="4">
        <v>1268</v>
      </c>
      <c r="G101" s="4">
        <v>202</v>
      </c>
      <c r="H101" s="4"/>
      <c r="I101" s="4"/>
      <c r="J101" s="4" t="s">
        <v>271</v>
      </c>
    </row>
    <row r="102" spans="1:10" x14ac:dyDescent="0.25">
      <c r="A102" s="4">
        <v>3395814592</v>
      </c>
      <c r="B102" s="4" t="s">
        <v>106</v>
      </c>
      <c r="C102" s="4"/>
      <c r="D102" s="4" t="s">
        <v>352</v>
      </c>
      <c r="E102" s="4">
        <v>9334268703</v>
      </c>
      <c r="F102" s="4">
        <v>846</v>
      </c>
      <c r="G102" s="4">
        <v>3855</v>
      </c>
      <c r="H102" s="4"/>
      <c r="I102" s="4"/>
      <c r="J102" s="4" t="s">
        <v>264</v>
      </c>
    </row>
    <row r="103" spans="1:10" x14ac:dyDescent="0.25">
      <c r="A103" s="4">
        <v>4192276658</v>
      </c>
      <c r="B103" s="4" t="s">
        <v>107</v>
      </c>
      <c r="C103" s="4"/>
      <c r="D103" s="4" t="s">
        <v>353</v>
      </c>
      <c r="E103" s="4">
        <v>9334996942</v>
      </c>
      <c r="F103" s="4">
        <v>1314</v>
      </c>
      <c r="G103" s="4">
        <v>3296</v>
      </c>
      <c r="H103" s="4"/>
      <c r="I103" s="4"/>
      <c r="J103" s="4" t="s">
        <v>264</v>
      </c>
    </row>
    <row r="104" spans="1:10" x14ac:dyDescent="0.25">
      <c r="A104" s="4">
        <v>8628931596</v>
      </c>
      <c r="B104" s="4" t="s">
        <v>108</v>
      </c>
      <c r="C104" s="4" t="str">
        <f>VLOOKUP(A104,[1]Tatanagar!$E:$J,6,FALSE)</f>
        <v>jh.mhk</v>
      </c>
      <c r="D104" s="4" t="s">
        <v>354</v>
      </c>
      <c r="E104" s="4">
        <v>9709020161</v>
      </c>
      <c r="F104" s="4">
        <v>832</v>
      </c>
      <c r="G104" s="4">
        <v>3235</v>
      </c>
      <c r="H104" s="4" t="str">
        <f>VLOOKUP(A104,[1]Tatanagar!$E:$N,10,FALSE)</f>
        <v>KKPR OLT Port no. 6</v>
      </c>
      <c r="I104" s="4"/>
      <c r="J104" s="4" t="s">
        <v>270</v>
      </c>
    </row>
    <row r="105" spans="1:10" x14ac:dyDescent="0.25">
      <c r="A105" s="4">
        <v>4915796228</v>
      </c>
      <c r="B105" s="4" t="s">
        <v>109</v>
      </c>
      <c r="C105" s="4"/>
      <c r="D105" s="4" t="s">
        <v>355</v>
      </c>
      <c r="E105" s="4">
        <v>9304401517</v>
      </c>
      <c r="F105" s="4">
        <v>836</v>
      </c>
      <c r="G105" s="4">
        <v>3899</v>
      </c>
      <c r="H105" s="4"/>
      <c r="I105" s="4"/>
      <c r="J105" s="4" t="s">
        <v>271</v>
      </c>
    </row>
    <row r="106" spans="1:10" x14ac:dyDescent="0.25">
      <c r="A106" s="4">
        <v>7613699637</v>
      </c>
      <c r="B106" s="4" t="s">
        <v>110</v>
      </c>
      <c r="C106" s="4" t="str">
        <f>VLOOKUP(A106,[1]Tatanagar!$E:$J,6,FALSE)</f>
        <v>jh.btc</v>
      </c>
      <c r="D106" s="4" t="s">
        <v>356</v>
      </c>
      <c r="E106" s="4">
        <v>8210791282</v>
      </c>
      <c r="F106" s="4">
        <v>890</v>
      </c>
      <c r="G106" s="4">
        <v>3992</v>
      </c>
      <c r="H106" s="4" t="str">
        <f>VLOOKUP(A106,[1]Tatanagar!$E:$N,10,FALSE)</f>
        <v>TATA D-Link Switch Port no. 17</v>
      </c>
      <c r="I106" s="4"/>
      <c r="J106" s="4" t="s">
        <v>271</v>
      </c>
    </row>
    <row r="107" spans="1:10" x14ac:dyDescent="0.25">
      <c r="A107" s="4">
        <v>6830729927</v>
      </c>
      <c r="B107" s="4" t="s">
        <v>111</v>
      </c>
      <c r="C107" s="4"/>
      <c r="D107" s="4" t="s">
        <v>357</v>
      </c>
      <c r="E107" s="4">
        <v>9835644064</v>
      </c>
      <c r="F107" s="4">
        <v>882</v>
      </c>
      <c r="G107" s="4">
        <v>3257</v>
      </c>
      <c r="H107" s="4"/>
      <c r="I107" s="4"/>
      <c r="J107" s="4" t="s">
        <v>264</v>
      </c>
    </row>
    <row r="108" spans="1:10" x14ac:dyDescent="0.25">
      <c r="A108" s="4">
        <v>7334582506</v>
      </c>
      <c r="B108" s="4" t="s">
        <v>112</v>
      </c>
      <c r="C108" s="4"/>
      <c r="D108" s="4" t="s">
        <v>358</v>
      </c>
      <c r="E108" s="4">
        <v>8340324335</v>
      </c>
      <c r="F108" s="4">
        <v>1300</v>
      </c>
      <c r="G108" s="4">
        <v>3254</v>
      </c>
      <c r="H108" s="4"/>
      <c r="I108" s="4"/>
      <c r="J108" s="4" t="s">
        <v>264</v>
      </c>
    </row>
    <row r="109" spans="1:10" x14ac:dyDescent="0.25">
      <c r="A109" s="4">
        <v>3060990296</v>
      </c>
      <c r="B109" s="4" t="s">
        <v>113</v>
      </c>
      <c r="C109" s="4"/>
      <c r="D109" s="4" t="s">
        <v>113</v>
      </c>
      <c r="E109" s="4">
        <v>8757441514</v>
      </c>
      <c r="F109" s="4">
        <v>837</v>
      </c>
      <c r="G109" s="4">
        <v>3238</v>
      </c>
      <c r="H109" s="4"/>
      <c r="I109" s="4"/>
      <c r="J109" s="4" t="s">
        <v>264</v>
      </c>
    </row>
    <row r="110" spans="1:10" x14ac:dyDescent="0.25">
      <c r="A110" s="4">
        <v>5237691014</v>
      </c>
      <c r="B110" s="4" t="s">
        <v>114</v>
      </c>
      <c r="C110" s="4"/>
      <c r="D110" s="4" t="s">
        <v>359</v>
      </c>
      <c r="E110" s="4">
        <v>8252340271</v>
      </c>
      <c r="F110" s="4">
        <v>1221</v>
      </c>
      <c r="G110" s="4">
        <v>3804</v>
      </c>
      <c r="H110" s="4"/>
      <c r="I110" s="4"/>
      <c r="J110" s="4" t="s">
        <v>264</v>
      </c>
    </row>
    <row r="111" spans="1:10" x14ac:dyDescent="0.25">
      <c r="A111" s="4">
        <v>8278959422</v>
      </c>
      <c r="B111" s="4" t="s">
        <v>115</v>
      </c>
      <c r="C111" s="4"/>
      <c r="D111" s="4" t="s">
        <v>360</v>
      </c>
      <c r="E111" s="4">
        <v>6204419576</v>
      </c>
      <c r="F111" s="4">
        <v>1221</v>
      </c>
      <c r="G111" s="4">
        <v>3858</v>
      </c>
      <c r="H111" s="4"/>
      <c r="I111" s="4"/>
      <c r="J111" s="4" t="s">
        <v>264</v>
      </c>
    </row>
    <row r="112" spans="1:10" x14ac:dyDescent="0.25">
      <c r="A112" s="4">
        <v>2689066633</v>
      </c>
      <c r="B112" s="4" t="s">
        <v>116</v>
      </c>
      <c r="C112" s="4"/>
      <c r="D112" s="4" t="s">
        <v>361</v>
      </c>
      <c r="E112" s="4">
        <v>8789586640</v>
      </c>
      <c r="F112" s="4">
        <v>888</v>
      </c>
      <c r="G112" s="4">
        <v>3828</v>
      </c>
      <c r="H112" s="4"/>
      <c r="I112" s="4"/>
      <c r="J112" s="4" t="s">
        <v>264</v>
      </c>
    </row>
    <row r="113" spans="1:10" x14ac:dyDescent="0.25">
      <c r="A113" s="4">
        <v>5068939714</v>
      </c>
      <c r="B113" s="4" t="s">
        <v>117</v>
      </c>
      <c r="C113" s="4"/>
      <c r="D113" s="4" t="s">
        <v>362</v>
      </c>
      <c r="E113" s="4">
        <v>7004690943</v>
      </c>
      <c r="F113" s="4">
        <v>1297</v>
      </c>
      <c r="G113" s="4">
        <v>3131</v>
      </c>
      <c r="H113" s="4"/>
      <c r="I113" s="4"/>
      <c r="J113" s="4" t="s">
        <v>264</v>
      </c>
    </row>
    <row r="114" spans="1:10" x14ac:dyDescent="0.25">
      <c r="A114" s="4">
        <v>6248928254</v>
      </c>
      <c r="B114" s="4" t="s">
        <v>118</v>
      </c>
      <c r="C114" s="4" t="str">
        <f>VLOOKUP(A114,[1]Tatanagar!$E:$J,6,FALSE)</f>
        <v>jh.mdh</v>
      </c>
      <c r="D114" s="4" t="s">
        <v>363</v>
      </c>
      <c r="E114" s="4">
        <v>9431524700</v>
      </c>
      <c r="F114" s="4">
        <v>4011</v>
      </c>
      <c r="G114" s="4">
        <v>3244</v>
      </c>
      <c r="H114" s="4" t="str">
        <f>VLOOKUP(A114,[1]Tatanagar!$E:$N,10,FALSE)</f>
        <v>AGNP Switch Pratik Infotech</v>
      </c>
      <c r="I114" s="4"/>
      <c r="J114" s="4" t="s">
        <v>270</v>
      </c>
    </row>
    <row r="115" spans="1:10" x14ac:dyDescent="0.25">
      <c r="A115" s="4">
        <v>4199835065</v>
      </c>
      <c r="B115" s="4" t="s">
        <v>119</v>
      </c>
      <c r="C115" s="4"/>
      <c r="D115" s="4" t="s">
        <v>364</v>
      </c>
      <c r="E115" s="4">
        <v>9835925014</v>
      </c>
      <c r="F115" s="4">
        <v>820</v>
      </c>
      <c r="G115" s="4">
        <v>3281</v>
      </c>
      <c r="H115" s="4"/>
      <c r="I115" s="4"/>
      <c r="J115" s="4" t="s">
        <v>264</v>
      </c>
    </row>
    <row r="116" spans="1:10" x14ac:dyDescent="0.25">
      <c r="A116" s="4">
        <v>6270874763</v>
      </c>
      <c r="B116" s="4" t="s">
        <v>120</v>
      </c>
      <c r="C116" s="4"/>
      <c r="D116" s="4" t="s">
        <v>365</v>
      </c>
      <c r="E116" s="4">
        <v>7004289539</v>
      </c>
      <c r="F116" s="4">
        <v>878</v>
      </c>
      <c r="G116" s="4">
        <v>3814</v>
      </c>
      <c r="H116" s="4"/>
      <c r="I116" s="4"/>
      <c r="J116" s="4" t="s">
        <v>264</v>
      </c>
    </row>
    <row r="117" spans="1:10" x14ac:dyDescent="0.25">
      <c r="A117" s="4">
        <v>9070462030</v>
      </c>
      <c r="B117" s="4" t="s">
        <v>121</v>
      </c>
      <c r="C117" s="4"/>
      <c r="D117" s="4" t="s">
        <v>366</v>
      </c>
      <c r="E117" s="4">
        <v>8340535484</v>
      </c>
      <c r="F117" s="4">
        <v>810</v>
      </c>
      <c r="G117" s="4">
        <v>3949</v>
      </c>
      <c r="H117" s="4"/>
      <c r="I117" s="4"/>
      <c r="J117" s="4" t="s">
        <v>264</v>
      </c>
    </row>
    <row r="118" spans="1:10" x14ac:dyDescent="0.25">
      <c r="A118" s="4">
        <v>3794029393</v>
      </c>
      <c r="B118" s="4" t="s">
        <v>122</v>
      </c>
      <c r="C118" s="4"/>
      <c r="D118" s="4" t="s">
        <v>367</v>
      </c>
      <c r="E118" s="4">
        <v>9905766420</v>
      </c>
      <c r="F118" s="4">
        <v>857</v>
      </c>
      <c r="G118" s="4">
        <v>3271</v>
      </c>
      <c r="H118" s="4"/>
      <c r="I118" s="4"/>
      <c r="J118" s="4" t="s">
        <v>264</v>
      </c>
    </row>
    <row r="119" spans="1:10" x14ac:dyDescent="0.25">
      <c r="A119" s="4">
        <v>7671177388</v>
      </c>
      <c r="B119" s="4" t="s">
        <v>123</v>
      </c>
      <c r="C119" s="4"/>
      <c r="D119" s="4" t="s">
        <v>368</v>
      </c>
      <c r="E119" s="4">
        <v>6203505770</v>
      </c>
      <c r="F119" s="4">
        <v>850</v>
      </c>
      <c r="G119" s="4">
        <v>3999</v>
      </c>
      <c r="H119" s="4"/>
      <c r="I119" s="4"/>
      <c r="J119" s="4" t="s">
        <v>264</v>
      </c>
    </row>
    <row r="120" spans="1:10" x14ac:dyDescent="0.25">
      <c r="A120" s="4">
        <v>6151432328</v>
      </c>
      <c r="B120" s="4" t="s">
        <v>124</v>
      </c>
      <c r="C120" s="4"/>
      <c r="D120" s="4" t="s">
        <v>369</v>
      </c>
      <c r="E120" s="4">
        <v>9304331481</v>
      </c>
      <c r="F120" s="4">
        <v>814</v>
      </c>
      <c r="G120" s="4">
        <v>3255</v>
      </c>
      <c r="H120" s="4"/>
      <c r="I120" s="4"/>
      <c r="J120" s="4" t="s">
        <v>264</v>
      </c>
    </row>
    <row r="121" spans="1:10" x14ac:dyDescent="0.25">
      <c r="A121" s="4">
        <v>6672884434</v>
      </c>
      <c r="B121" s="4" t="s">
        <v>125</v>
      </c>
      <c r="C121" s="4"/>
      <c r="D121" s="4" t="s">
        <v>125</v>
      </c>
      <c r="E121" s="4">
        <v>7903885125</v>
      </c>
      <c r="F121" s="4">
        <v>831</v>
      </c>
      <c r="G121" s="4">
        <v>3905</v>
      </c>
      <c r="H121" s="4"/>
      <c r="I121" s="4"/>
      <c r="J121" s="4" t="s">
        <v>264</v>
      </c>
    </row>
    <row r="122" spans="1:10" x14ac:dyDescent="0.25">
      <c r="A122" s="4">
        <v>7850048417</v>
      </c>
      <c r="B122" s="4" t="s">
        <v>126</v>
      </c>
      <c r="C122" s="4"/>
      <c r="D122" s="4" t="s">
        <v>370</v>
      </c>
      <c r="E122" s="4">
        <v>9122333866</v>
      </c>
      <c r="F122" s="4">
        <v>825</v>
      </c>
      <c r="G122" s="4">
        <v>3084</v>
      </c>
      <c r="H122" s="4"/>
      <c r="I122" s="4"/>
      <c r="J122" s="4" t="s">
        <v>264</v>
      </c>
    </row>
    <row r="123" spans="1:10" x14ac:dyDescent="0.25">
      <c r="A123" s="4">
        <v>9065913703</v>
      </c>
      <c r="B123" s="4" t="s">
        <v>127</v>
      </c>
      <c r="C123" s="4"/>
      <c r="D123" s="4" t="s">
        <v>371</v>
      </c>
      <c r="E123" s="4">
        <v>8709102013</v>
      </c>
      <c r="F123" s="4">
        <v>839</v>
      </c>
      <c r="G123" s="4">
        <v>3140</v>
      </c>
      <c r="H123" s="4"/>
      <c r="I123" s="4"/>
      <c r="J123" s="4" t="s">
        <v>264</v>
      </c>
    </row>
    <row r="124" spans="1:10" x14ac:dyDescent="0.25">
      <c r="A124" s="4">
        <v>8376177793</v>
      </c>
      <c r="B124" s="4" t="s">
        <v>128</v>
      </c>
      <c r="C124" s="4"/>
      <c r="D124" s="4" t="s">
        <v>372</v>
      </c>
      <c r="E124" s="4">
        <v>7903778790</v>
      </c>
      <c r="F124" s="4">
        <v>810</v>
      </c>
      <c r="G124" s="4">
        <v>3844</v>
      </c>
      <c r="H124" s="4"/>
      <c r="I124" s="4"/>
      <c r="J124" s="4" t="s">
        <v>264</v>
      </c>
    </row>
    <row r="125" spans="1:10" x14ac:dyDescent="0.25">
      <c r="A125" s="4">
        <v>7550982877</v>
      </c>
      <c r="B125" s="4" t="s">
        <v>129</v>
      </c>
      <c r="C125" s="4"/>
      <c r="D125" s="4" t="s">
        <v>129</v>
      </c>
      <c r="E125" s="4">
        <v>8409804564</v>
      </c>
      <c r="F125" s="4">
        <v>1318</v>
      </c>
      <c r="G125" s="4">
        <v>3837</v>
      </c>
      <c r="H125" s="4"/>
      <c r="I125" s="4"/>
      <c r="J125" s="4" t="s">
        <v>264</v>
      </c>
    </row>
    <row r="126" spans="1:10" x14ac:dyDescent="0.25">
      <c r="A126" s="4">
        <v>6916519018</v>
      </c>
      <c r="B126" s="4" t="s">
        <v>130</v>
      </c>
      <c r="C126" s="4"/>
      <c r="D126" s="4" t="s">
        <v>373</v>
      </c>
      <c r="E126" s="4">
        <v>9546213118</v>
      </c>
      <c r="F126" s="4">
        <v>874</v>
      </c>
      <c r="G126" s="4">
        <v>3272</v>
      </c>
      <c r="H126" s="4"/>
      <c r="I126" s="4"/>
      <c r="J126" s="4" t="s">
        <v>271</v>
      </c>
    </row>
    <row r="127" spans="1:10" x14ac:dyDescent="0.25">
      <c r="A127" s="4">
        <v>8196287222</v>
      </c>
      <c r="B127" s="4" t="s">
        <v>131</v>
      </c>
      <c r="C127" s="4"/>
      <c r="D127" s="4" t="s">
        <v>374</v>
      </c>
      <c r="E127" s="4">
        <v>9934168903</v>
      </c>
      <c r="F127" s="4">
        <v>874</v>
      </c>
      <c r="G127" s="4">
        <v>3282</v>
      </c>
      <c r="H127" s="4"/>
      <c r="I127" s="4"/>
      <c r="J127" s="4" t="s">
        <v>271</v>
      </c>
    </row>
    <row r="128" spans="1:10" x14ac:dyDescent="0.25">
      <c r="A128" s="4">
        <v>7484547570</v>
      </c>
      <c r="B128" s="4" t="s">
        <v>132</v>
      </c>
      <c r="C128" s="4"/>
      <c r="D128" s="4" t="s">
        <v>375</v>
      </c>
      <c r="E128" s="4">
        <v>8873649555</v>
      </c>
      <c r="F128" s="4">
        <v>874</v>
      </c>
      <c r="G128" s="4">
        <v>3284</v>
      </c>
      <c r="H128" s="4"/>
      <c r="I128" s="4"/>
      <c r="J128" s="4" t="s">
        <v>271</v>
      </c>
    </row>
    <row r="129" spans="1:10" x14ac:dyDescent="0.25">
      <c r="A129" s="4">
        <v>8281688322</v>
      </c>
      <c r="B129" s="4" t="s">
        <v>133</v>
      </c>
      <c r="C129" s="4"/>
      <c r="D129" s="4" t="s">
        <v>376</v>
      </c>
      <c r="E129" s="4">
        <v>9835168589</v>
      </c>
      <c r="F129" s="4">
        <v>837</v>
      </c>
      <c r="G129" s="4">
        <v>3265</v>
      </c>
      <c r="H129" s="4"/>
      <c r="I129" s="4"/>
      <c r="J129" s="4" t="s">
        <v>264</v>
      </c>
    </row>
    <row r="130" spans="1:10" x14ac:dyDescent="0.25">
      <c r="A130" s="4">
        <v>2092712035</v>
      </c>
      <c r="B130" s="4" t="s">
        <v>134</v>
      </c>
      <c r="C130" s="4"/>
      <c r="D130" s="4" t="s">
        <v>377</v>
      </c>
      <c r="E130" s="4">
        <v>9334092125</v>
      </c>
      <c r="F130" s="4">
        <v>825</v>
      </c>
      <c r="G130" s="4">
        <v>3917</v>
      </c>
      <c r="H130" s="4"/>
      <c r="I130" s="4"/>
      <c r="J130" s="4" t="s">
        <v>264</v>
      </c>
    </row>
    <row r="131" spans="1:10" x14ac:dyDescent="0.25">
      <c r="A131" s="4">
        <v>4072113231</v>
      </c>
      <c r="B131" s="4" t="s">
        <v>135</v>
      </c>
      <c r="C131" s="4"/>
      <c r="D131" s="4" t="s">
        <v>295</v>
      </c>
      <c r="E131" s="4">
        <v>9934323967</v>
      </c>
      <c r="F131" s="4">
        <v>847</v>
      </c>
      <c r="G131" s="4">
        <v>3981</v>
      </c>
      <c r="H131" s="4"/>
      <c r="I131" s="4"/>
      <c r="J131" s="4" t="s">
        <v>264</v>
      </c>
    </row>
    <row r="132" spans="1:10" x14ac:dyDescent="0.25">
      <c r="A132" s="4">
        <v>3307724810</v>
      </c>
      <c r="B132" s="4" t="s">
        <v>136</v>
      </c>
      <c r="C132" s="4" t="str">
        <f>VLOOKUP(A132,[1]Tatanagar!$E:$J,6,FALSE)</f>
        <v>jh.bgc</v>
      </c>
      <c r="D132" s="4" t="s">
        <v>378</v>
      </c>
      <c r="E132" s="4">
        <v>7070192119</v>
      </c>
      <c r="F132" s="4">
        <v>886</v>
      </c>
      <c r="G132" s="4">
        <v>3985</v>
      </c>
      <c r="H132" s="4" t="str">
        <f>VLOOKUP(A132,[1]Tatanagar!$E:$N,10,FALSE)</f>
        <v>CBSA D-Link Switch Port no. 26</v>
      </c>
      <c r="I132" s="4"/>
      <c r="J132" s="4" t="s">
        <v>270</v>
      </c>
    </row>
    <row r="133" spans="1:10" x14ac:dyDescent="0.25">
      <c r="A133" s="4">
        <v>1999554625</v>
      </c>
      <c r="B133" s="4" t="s">
        <v>137</v>
      </c>
      <c r="C133" s="4"/>
      <c r="D133" s="4" t="s">
        <v>379</v>
      </c>
      <c r="E133" s="4">
        <v>9934666190</v>
      </c>
      <c r="F133" s="4">
        <v>828</v>
      </c>
      <c r="G133" s="4">
        <v>3817</v>
      </c>
      <c r="H133" s="4"/>
      <c r="I133" s="4"/>
      <c r="J133" s="4" t="s">
        <v>264</v>
      </c>
    </row>
    <row r="134" spans="1:10" x14ac:dyDescent="0.25">
      <c r="A134" s="4">
        <v>6552296833</v>
      </c>
      <c r="B134" s="4" t="s">
        <v>138</v>
      </c>
      <c r="C134" s="4" t="str">
        <f>VLOOKUP(A134,[1]Tatanagar!$E:$J,6,FALSE)</f>
        <v>jh.ako / jh.akoj</v>
      </c>
      <c r="D134" s="4" t="s">
        <v>380</v>
      </c>
      <c r="E134" s="4">
        <v>7061206453</v>
      </c>
      <c r="F134" s="4">
        <v>4011</v>
      </c>
      <c r="G134" s="4">
        <v>3941</v>
      </c>
      <c r="H134" s="4" t="str">
        <f>VLOOKUP(A134,[1]Tatanagar!$E:$N,10,FALSE)</f>
        <v>AGNP Switch Pratik Infotech</v>
      </c>
      <c r="I134" s="4"/>
      <c r="J134" s="4" t="s">
        <v>270</v>
      </c>
    </row>
    <row r="135" spans="1:10" x14ac:dyDescent="0.25">
      <c r="A135" s="4">
        <v>7028026567</v>
      </c>
      <c r="B135" s="4" t="s">
        <v>139</v>
      </c>
      <c r="C135" s="4" t="str">
        <f>VLOOKUP(A135,[1]Tatanagar!$E:$J,6,FALSE)</f>
        <v>jh.dev</v>
      </c>
      <c r="D135" s="4" t="s">
        <v>381</v>
      </c>
      <c r="E135" s="4">
        <v>7903646019</v>
      </c>
      <c r="F135" s="4">
        <v>811</v>
      </c>
      <c r="G135" s="4">
        <v>3848</v>
      </c>
      <c r="H135" s="4" t="str">
        <f>VLOOKUP(A135,[1]Tatanagar!$E:$N,10,FALSE)</f>
        <v>TATA D-Link Switch Port no. 13</v>
      </c>
      <c r="I135" s="4"/>
      <c r="J135" s="4" t="s">
        <v>271</v>
      </c>
    </row>
    <row r="136" spans="1:10" x14ac:dyDescent="0.25">
      <c r="A136" s="4">
        <v>5217583492</v>
      </c>
      <c r="B136" s="4" t="s">
        <v>140</v>
      </c>
      <c r="C136" s="4"/>
      <c r="D136" s="4" t="s">
        <v>382</v>
      </c>
      <c r="E136" s="4">
        <v>9835190615</v>
      </c>
      <c r="F136" s="4">
        <v>826</v>
      </c>
      <c r="G136" s="4">
        <v>3220</v>
      </c>
      <c r="H136" s="4"/>
      <c r="I136" s="4"/>
      <c r="J136" s="4" t="s">
        <v>264</v>
      </c>
    </row>
    <row r="137" spans="1:10" x14ac:dyDescent="0.25">
      <c r="A137" s="4">
        <v>6378518993</v>
      </c>
      <c r="B137" s="4" t="s">
        <v>141</v>
      </c>
      <c r="C137" s="4"/>
      <c r="D137" s="4" t="s">
        <v>141</v>
      </c>
      <c r="E137" s="4">
        <v>9507847509</v>
      </c>
      <c r="F137" s="4">
        <v>835</v>
      </c>
      <c r="G137" s="4">
        <v>3258</v>
      </c>
      <c r="H137" s="4"/>
      <c r="I137" s="4"/>
      <c r="J137" s="4" t="s">
        <v>264</v>
      </c>
    </row>
    <row r="138" spans="1:10" x14ac:dyDescent="0.25">
      <c r="A138" s="4">
        <v>5091315887</v>
      </c>
      <c r="B138" s="4" t="s">
        <v>142</v>
      </c>
      <c r="C138" s="4"/>
      <c r="D138" s="4" t="s">
        <v>383</v>
      </c>
      <c r="E138" s="4">
        <v>7781817742</v>
      </c>
      <c r="F138" s="4">
        <v>874</v>
      </c>
      <c r="G138" s="4">
        <v>3268</v>
      </c>
      <c r="H138" s="4"/>
      <c r="I138" s="4"/>
      <c r="J138" s="4" t="s">
        <v>271</v>
      </c>
    </row>
    <row r="139" spans="1:10" x14ac:dyDescent="0.25">
      <c r="A139" s="4">
        <v>5488217764</v>
      </c>
      <c r="B139" s="4" t="s">
        <v>143</v>
      </c>
      <c r="C139" s="4"/>
      <c r="D139" s="4" t="s">
        <v>384</v>
      </c>
      <c r="E139" s="4">
        <v>9973806399</v>
      </c>
      <c r="F139" s="4">
        <v>857</v>
      </c>
      <c r="G139" s="4">
        <v>3270</v>
      </c>
      <c r="H139" s="4"/>
      <c r="I139" s="4"/>
      <c r="J139" s="4" t="s">
        <v>264</v>
      </c>
    </row>
    <row r="140" spans="1:10" x14ac:dyDescent="0.25">
      <c r="A140" s="4">
        <v>6044068054</v>
      </c>
      <c r="B140" s="4" t="s">
        <v>144</v>
      </c>
      <c r="C140" s="4"/>
      <c r="D140" s="4" t="s">
        <v>385</v>
      </c>
      <c r="E140" s="4">
        <v>7488086910</v>
      </c>
      <c r="F140" s="4">
        <v>879</v>
      </c>
      <c r="G140" s="4">
        <v>3245</v>
      </c>
      <c r="H140" s="4"/>
      <c r="I140" s="4"/>
      <c r="J140" s="4" t="s">
        <v>267</v>
      </c>
    </row>
    <row r="141" spans="1:10" x14ac:dyDescent="0.25">
      <c r="A141" s="4">
        <v>2795135088</v>
      </c>
      <c r="B141" s="4" t="s">
        <v>145</v>
      </c>
      <c r="C141" s="4"/>
      <c r="D141" s="4" t="s">
        <v>386</v>
      </c>
      <c r="E141" s="4">
        <v>8340761830</v>
      </c>
      <c r="F141" s="4">
        <v>1357</v>
      </c>
      <c r="G141" s="4">
        <v>3290</v>
      </c>
      <c r="H141" s="4"/>
      <c r="I141" s="4"/>
      <c r="J141" s="4" t="s">
        <v>271</v>
      </c>
    </row>
    <row r="142" spans="1:10" x14ac:dyDescent="0.25">
      <c r="A142" s="4">
        <v>8934578379</v>
      </c>
      <c r="B142" s="4" t="s">
        <v>146</v>
      </c>
      <c r="C142" s="4"/>
      <c r="D142" s="4" t="s">
        <v>387</v>
      </c>
      <c r="E142" s="4">
        <v>7283000340</v>
      </c>
      <c r="F142" s="4">
        <v>892</v>
      </c>
      <c r="G142" s="4">
        <v>3927</v>
      </c>
      <c r="H142" s="4"/>
      <c r="I142" s="4"/>
      <c r="J142" s="4" t="s">
        <v>271</v>
      </c>
    </row>
    <row r="143" spans="1:10" x14ac:dyDescent="0.25">
      <c r="A143" s="4">
        <v>6714867933</v>
      </c>
      <c r="B143" s="4" t="s">
        <v>147</v>
      </c>
      <c r="C143" s="4"/>
      <c r="D143" s="4" t="s">
        <v>388</v>
      </c>
      <c r="E143" s="4">
        <v>9334198130</v>
      </c>
      <c r="F143" s="4">
        <v>826</v>
      </c>
      <c r="G143" s="4">
        <v>3812</v>
      </c>
      <c r="H143" s="4"/>
      <c r="I143" s="4"/>
      <c r="J143" s="4" t="s">
        <v>264</v>
      </c>
    </row>
    <row r="144" spans="1:10" x14ac:dyDescent="0.25">
      <c r="A144" s="4">
        <v>4651873225</v>
      </c>
      <c r="B144" s="4" t="s">
        <v>148</v>
      </c>
      <c r="C144" s="4"/>
      <c r="D144" s="4" t="s">
        <v>389</v>
      </c>
      <c r="E144" s="4">
        <v>9576615129</v>
      </c>
      <c r="F144" s="4">
        <v>857</v>
      </c>
      <c r="G144" s="4">
        <v>3240</v>
      </c>
      <c r="H144" s="4"/>
      <c r="I144" s="4"/>
      <c r="J144" s="4" t="s">
        <v>264</v>
      </c>
    </row>
    <row r="145" spans="1:10" x14ac:dyDescent="0.25">
      <c r="A145" s="4">
        <v>5751042601</v>
      </c>
      <c r="B145" s="4" t="s">
        <v>149</v>
      </c>
      <c r="C145" s="4"/>
      <c r="D145" s="4" t="s">
        <v>390</v>
      </c>
      <c r="E145" s="4">
        <v>8877000406</v>
      </c>
      <c r="F145" s="4">
        <v>1314</v>
      </c>
      <c r="G145" s="4">
        <v>3256</v>
      </c>
      <c r="H145" s="4"/>
      <c r="I145" s="4"/>
      <c r="J145" s="4" t="s">
        <v>264</v>
      </c>
    </row>
    <row r="146" spans="1:10" x14ac:dyDescent="0.25">
      <c r="A146" s="4">
        <v>2353190987</v>
      </c>
      <c r="B146" s="4" t="s">
        <v>150</v>
      </c>
      <c r="C146" s="4"/>
      <c r="D146" s="4" t="s">
        <v>391</v>
      </c>
      <c r="E146" s="4">
        <v>7004691036</v>
      </c>
      <c r="F146" s="4">
        <v>847</v>
      </c>
      <c r="G146" s="4">
        <v>3975</v>
      </c>
      <c r="H146" s="4"/>
      <c r="I146" s="4"/>
      <c r="J146" s="4" t="s">
        <v>264</v>
      </c>
    </row>
    <row r="147" spans="1:10" x14ac:dyDescent="0.25">
      <c r="A147" s="4">
        <v>2306321602</v>
      </c>
      <c r="B147" s="4" t="s">
        <v>151</v>
      </c>
      <c r="C147" s="4"/>
      <c r="D147" s="4" t="s">
        <v>392</v>
      </c>
      <c r="E147" s="4">
        <v>9835168557</v>
      </c>
      <c r="F147" s="4">
        <v>876</v>
      </c>
      <c r="G147" s="4">
        <v>3266</v>
      </c>
      <c r="H147" s="4"/>
      <c r="I147" s="4"/>
      <c r="J147" s="4" t="s">
        <v>264</v>
      </c>
    </row>
    <row r="148" spans="1:10" x14ac:dyDescent="0.25">
      <c r="A148" s="4">
        <v>1623241122</v>
      </c>
      <c r="B148" s="4" t="s">
        <v>152</v>
      </c>
      <c r="C148" s="4"/>
      <c r="D148" s="4" t="s">
        <v>393</v>
      </c>
      <c r="E148" s="4">
        <v>8709688226</v>
      </c>
      <c r="F148" s="4">
        <v>878</v>
      </c>
      <c r="G148" s="4">
        <v>3817</v>
      </c>
      <c r="H148" s="4"/>
      <c r="I148" s="4"/>
      <c r="J148" s="4" t="s">
        <v>264</v>
      </c>
    </row>
    <row r="149" spans="1:10" x14ac:dyDescent="0.25">
      <c r="A149" s="4">
        <v>5671931467</v>
      </c>
      <c r="B149" s="4" t="s">
        <v>153</v>
      </c>
      <c r="C149" s="4"/>
      <c r="D149" s="4" t="s">
        <v>153</v>
      </c>
      <c r="E149" s="4">
        <v>9470520001</v>
      </c>
      <c r="F149" s="4">
        <v>1303</v>
      </c>
      <c r="G149" s="4">
        <v>3967</v>
      </c>
      <c r="H149" s="4"/>
      <c r="I149" s="4"/>
      <c r="J149" s="4" t="s">
        <v>271</v>
      </c>
    </row>
    <row r="150" spans="1:10" x14ac:dyDescent="0.25">
      <c r="A150" s="4">
        <v>6364347255</v>
      </c>
      <c r="B150" s="4" t="s">
        <v>154</v>
      </c>
      <c r="C150" s="4"/>
      <c r="D150" s="4" t="s">
        <v>394</v>
      </c>
      <c r="E150" s="4">
        <v>9304335854</v>
      </c>
      <c r="F150" s="4">
        <v>826</v>
      </c>
      <c r="G150" s="4">
        <v>3285</v>
      </c>
      <c r="H150" s="4"/>
      <c r="I150" s="4"/>
      <c r="J150" s="4" t="s">
        <v>264</v>
      </c>
    </row>
    <row r="151" spans="1:10" x14ac:dyDescent="0.25">
      <c r="A151" s="4">
        <v>3526429255</v>
      </c>
      <c r="B151" s="4" t="s">
        <v>155</v>
      </c>
      <c r="C151" s="4"/>
      <c r="D151" s="4" t="s">
        <v>395</v>
      </c>
      <c r="E151" s="4">
        <v>9939725099</v>
      </c>
      <c r="F151" s="4">
        <v>815</v>
      </c>
      <c r="G151" s="4">
        <v>3983</v>
      </c>
      <c r="H151" s="4"/>
      <c r="I151" s="4"/>
      <c r="J151" s="4" t="s">
        <v>267</v>
      </c>
    </row>
    <row r="152" spans="1:10" x14ac:dyDescent="0.25">
      <c r="A152" s="4">
        <v>5013751151</v>
      </c>
      <c r="B152" s="4" t="s">
        <v>156</v>
      </c>
      <c r="C152" s="4"/>
      <c r="D152" s="4" t="s">
        <v>396</v>
      </c>
      <c r="E152" s="4">
        <v>7503582453</v>
      </c>
      <c r="F152" s="4">
        <v>847</v>
      </c>
      <c r="G152" s="4">
        <v>3292</v>
      </c>
      <c r="H152" s="4"/>
      <c r="I152" s="4"/>
      <c r="J152" s="4" t="s">
        <v>264</v>
      </c>
    </row>
    <row r="153" spans="1:10" x14ac:dyDescent="0.25">
      <c r="A153" s="4">
        <v>6521196327</v>
      </c>
      <c r="B153" s="4" t="s">
        <v>157</v>
      </c>
      <c r="C153" s="4" t="str">
        <f>VLOOKUP(A153,[1]Tatanagar!$E:$J,6,FALSE)</f>
        <v>jh.bgs</v>
      </c>
      <c r="D153" s="4" t="s">
        <v>397</v>
      </c>
      <c r="E153" s="4">
        <v>7903024617</v>
      </c>
      <c r="F153" s="4">
        <v>890</v>
      </c>
      <c r="G153" s="4">
        <v>3911</v>
      </c>
      <c r="H153" s="4" t="str">
        <f>VLOOKUP(A153,[1]Tatanagar!$E:$N,10,FALSE)</f>
        <v>TATA Edge Core Port no. 15</v>
      </c>
      <c r="I153" s="4"/>
      <c r="J153" s="4" t="s">
        <v>271</v>
      </c>
    </row>
    <row r="154" spans="1:10" x14ac:dyDescent="0.25">
      <c r="A154" s="4">
        <v>1863397621</v>
      </c>
      <c r="B154" s="4" t="s">
        <v>158</v>
      </c>
      <c r="C154" s="4"/>
      <c r="D154" s="4" t="s">
        <v>398</v>
      </c>
      <c r="E154" s="4">
        <v>8298069953</v>
      </c>
      <c r="F154" s="4">
        <v>1303</v>
      </c>
      <c r="G154" s="4">
        <v>3967</v>
      </c>
      <c r="H154" s="4"/>
      <c r="I154" s="4"/>
      <c r="J154" s="4" t="s">
        <v>271</v>
      </c>
    </row>
    <row r="155" spans="1:10" x14ac:dyDescent="0.25">
      <c r="A155" s="4">
        <v>2519343006</v>
      </c>
      <c r="B155" s="4" t="s">
        <v>159</v>
      </c>
      <c r="C155" s="4"/>
      <c r="D155" s="4" t="s">
        <v>399</v>
      </c>
      <c r="E155" s="4">
        <v>8700177325</v>
      </c>
      <c r="F155" s="4">
        <v>1303</v>
      </c>
      <c r="G155" s="4">
        <v>3926</v>
      </c>
      <c r="H155" s="4"/>
      <c r="I155" s="4"/>
      <c r="J155" s="4" t="s">
        <v>271</v>
      </c>
    </row>
    <row r="156" spans="1:10" x14ac:dyDescent="0.25">
      <c r="A156" s="4">
        <v>8559314869</v>
      </c>
      <c r="B156" s="4" t="s">
        <v>160</v>
      </c>
      <c r="C156" s="4"/>
      <c r="D156" s="4" t="s">
        <v>400</v>
      </c>
      <c r="E156" s="4">
        <v>9304533352</v>
      </c>
      <c r="F156" s="4">
        <v>826</v>
      </c>
      <c r="G156" s="4">
        <v>3986</v>
      </c>
      <c r="H156" s="4"/>
      <c r="I156" s="4"/>
      <c r="J156" s="4" t="s">
        <v>264</v>
      </c>
    </row>
    <row r="157" spans="1:10" x14ac:dyDescent="0.25">
      <c r="A157" s="4">
        <v>2300491438</v>
      </c>
      <c r="B157" s="4" t="s">
        <v>161</v>
      </c>
      <c r="C157" s="4"/>
      <c r="D157" s="4" t="s">
        <v>401</v>
      </c>
      <c r="E157" s="4">
        <v>8292335650</v>
      </c>
      <c r="F157" s="4">
        <v>824</v>
      </c>
      <c r="G157" s="4">
        <v>3885</v>
      </c>
      <c r="H157" s="4"/>
      <c r="I157" s="4"/>
      <c r="J157" s="4" t="s">
        <v>264</v>
      </c>
    </row>
    <row r="158" spans="1:10" x14ac:dyDescent="0.25">
      <c r="A158" s="4">
        <v>8805235250</v>
      </c>
      <c r="B158" s="4" t="s">
        <v>162</v>
      </c>
      <c r="C158" s="4"/>
      <c r="D158" s="4" t="s">
        <v>402</v>
      </c>
      <c r="E158" s="4">
        <v>9905770045</v>
      </c>
      <c r="F158" s="4">
        <v>1303</v>
      </c>
      <c r="G158" s="4">
        <v>3859</v>
      </c>
      <c r="H158" s="4"/>
      <c r="I158" s="4"/>
      <c r="J158" s="4" t="s">
        <v>271</v>
      </c>
    </row>
    <row r="159" spans="1:10" x14ac:dyDescent="0.25">
      <c r="A159" s="4">
        <v>4897744570</v>
      </c>
      <c r="B159" s="4" t="s">
        <v>163</v>
      </c>
      <c r="C159" s="4" t="str">
        <f>VLOOKUP(A159,[1]Tatanagar!$E:$J,6,FALSE)</f>
        <v>jh.mbt</v>
      </c>
      <c r="D159" s="4" t="s">
        <v>163</v>
      </c>
      <c r="E159" s="4">
        <v>9031781786</v>
      </c>
      <c r="F159" s="4">
        <v>844</v>
      </c>
      <c r="G159" s="4">
        <v>3964</v>
      </c>
      <c r="H159" s="4" t="str">
        <f>VLOOKUP(A159,[1]Tatanagar!$E:$N,10,FALSE)</f>
        <v>RHE Switch Port no. 4</v>
      </c>
      <c r="I159" s="4"/>
      <c r="J159" s="4" t="s">
        <v>271</v>
      </c>
    </row>
    <row r="160" spans="1:10" x14ac:dyDescent="0.25">
      <c r="A160" s="4">
        <v>6598056548</v>
      </c>
      <c r="B160" s="4" t="s">
        <v>164</v>
      </c>
      <c r="C160" s="4"/>
      <c r="D160" s="4" t="s">
        <v>403</v>
      </c>
      <c r="E160" s="4">
        <v>9546918167</v>
      </c>
      <c r="F160" s="4">
        <v>1249</v>
      </c>
      <c r="G160" s="4">
        <v>3291</v>
      </c>
      <c r="H160" s="4"/>
      <c r="I160" s="4"/>
      <c r="J160" s="4" t="s">
        <v>271</v>
      </c>
    </row>
    <row r="161" spans="1:10" x14ac:dyDescent="0.25">
      <c r="A161" s="4">
        <v>3880439395</v>
      </c>
      <c r="B161" s="4" t="s">
        <v>165</v>
      </c>
      <c r="C161" s="4"/>
      <c r="D161" s="4" t="s">
        <v>404</v>
      </c>
      <c r="E161" s="4">
        <v>9955940448</v>
      </c>
      <c r="F161" s="4">
        <v>1357</v>
      </c>
      <c r="G161" s="4">
        <v>3290</v>
      </c>
      <c r="H161" s="4"/>
      <c r="I161" s="4"/>
      <c r="J161" s="4" t="s">
        <v>271</v>
      </c>
    </row>
    <row r="162" spans="1:10" x14ac:dyDescent="0.25">
      <c r="A162" s="4">
        <v>3062655981</v>
      </c>
      <c r="B162" s="4" t="s">
        <v>166</v>
      </c>
      <c r="C162" s="4" t="str">
        <f>VLOOKUP(A162,[1]Tatanagar!$E:$J,6,FALSE)</f>
        <v>jh.jvs</v>
      </c>
      <c r="D162" s="4" t="s">
        <v>405</v>
      </c>
      <c r="E162" s="4">
        <v>9334651478</v>
      </c>
      <c r="F162" s="4">
        <v>4011</v>
      </c>
      <c r="G162" s="4">
        <v>3871</v>
      </c>
      <c r="H162" s="4" t="str">
        <f>VLOOKUP(A162,[1]Tatanagar!$E:$N,10,FALSE)</f>
        <v>TATA Switch 10G Port no. 26</v>
      </c>
      <c r="I162" s="4" t="str">
        <f>VLOOKUP(A162,[1]Tatanagar!$E:$O,11,FALSE)</f>
        <v>AGNP Switch Pratik Infotech</v>
      </c>
      <c r="J162" s="4" t="s">
        <v>270</v>
      </c>
    </row>
    <row r="163" spans="1:10" x14ac:dyDescent="0.25">
      <c r="A163" s="4">
        <v>1367325676</v>
      </c>
      <c r="B163" s="4" t="s">
        <v>167</v>
      </c>
      <c r="C163" s="4"/>
      <c r="D163" s="4" t="s">
        <v>406</v>
      </c>
      <c r="E163" s="4">
        <v>8986880070</v>
      </c>
      <c r="F163" s="4">
        <v>870</v>
      </c>
      <c r="G163" s="4">
        <v>3274</v>
      </c>
      <c r="H163" s="4"/>
      <c r="I163" s="4"/>
      <c r="J163" s="4" t="s">
        <v>264</v>
      </c>
    </row>
    <row r="164" spans="1:10" x14ac:dyDescent="0.25">
      <c r="A164" s="4">
        <v>2579484786</v>
      </c>
      <c r="B164" s="4" t="s">
        <v>168</v>
      </c>
      <c r="C164" s="4" t="str">
        <f>VLOOKUP(A164,[1]Tatanagar!$E:$J,6,FALSE)</f>
        <v>jh.gsg</v>
      </c>
      <c r="D164" s="4" t="s">
        <v>168</v>
      </c>
      <c r="E164" s="4">
        <v>7004312964</v>
      </c>
      <c r="F164" s="4">
        <v>890</v>
      </c>
      <c r="G164" s="4">
        <v>3809</v>
      </c>
      <c r="H164" s="4" t="str">
        <f>VLOOKUP(A164,[1]Tatanagar!$E:$N,10,FALSE)</f>
        <v>TATA Edge Core Port no. 15</v>
      </c>
      <c r="I164" s="4"/>
      <c r="J164" s="4" t="s">
        <v>271</v>
      </c>
    </row>
    <row r="165" spans="1:10" x14ac:dyDescent="0.25">
      <c r="A165" s="4">
        <v>4772946395</v>
      </c>
      <c r="B165" s="4" t="s">
        <v>169</v>
      </c>
      <c r="C165" s="4"/>
      <c r="D165" s="4" t="s">
        <v>407</v>
      </c>
      <c r="E165" s="4">
        <v>9635212075</v>
      </c>
      <c r="F165" s="4">
        <v>656</v>
      </c>
      <c r="G165" s="4">
        <v>201</v>
      </c>
      <c r="H165" s="4"/>
      <c r="I165" s="4"/>
      <c r="J165" s="4" t="s">
        <v>264</v>
      </c>
    </row>
    <row r="166" spans="1:10" x14ac:dyDescent="0.25">
      <c r="A166" s="4">
        <v>6860022656</v>
      </c>
      <c r="B166" s="4" t="s">
        <v>170</v>
      </c>
      <c r="C166" s="4"/>
      <c r="D166" s="4" t="s">
        <v>408</v>
      </c>
      <c r="E166" s="4">
        <v>9334915194</v>
      </c>
      <c r="F166" s="4">
        <v>828</v>
      </c>
      <c r="G166" s="4">
        <v>3817</v>
      </c>
      <c r="H166" s="4"/>
      <c r="I166" s="4"/>
      <c r="J166" s="4" t="s">
        <v>264</v>
      </c>
    </row>
    <row r="167" spans="1:10" x14ac:dyDescent="0.25">
      <c r="A167" s="4">
        <v>1772556727</v>
      </c>
      <c r="B167" s="4" t="s">
        <v>171</v>
      </c>
      <c r="C167" s="4"/>
      <c r="D167" s="4" t="s">
        <v>409</v>
      </c>
      <c r="E167" s="4">
        <v>8409540952</v>
      </c>
      <c r="F167" s="4">
        <v>882</v>
      </c>
      <c r="G167" s="4">
        <v>3830</v>
      </c>
      <c r="H167" s="4"/>
      <c r="I167" s="4"/>
      <c r="J167" s="4" t="s">
        <v>264</v>
      </c>
    </row>
    <row r="168" spans="1:10" x14ac:dyDescent="0.25">
      <c r="A168" s="4">
        <v>4383088045</v>
      </c>
      <c r="B168" s="4" t="s">
        <v>172</v>
      </c>
      <c r="C168" s="4"/>
      <c r="D168" s="4" t="s">
        <v>410</v>
      </c>
      <c r="E168" s="4">
        <v>9931563181</v>
      </c>
      <c r="F168" s="4">
        <v>819</v>
      </c>
      <c r="G168" s="4">
        <v>3805</v>
      </c>
      <c r="H168" s="4"/>
      <c r="I168" s="4"/>
      <c r="J168" s="4" t="s">
        <v>264</v>
      </c>
    </row>
    <row r="169" spans="1:10" x14ac:dyDescent="0.25">
      <c r="A169" s="4">
        <v>6412942009</v>
      </c>
      <c r="B169" s="4" t="s">
        <v>173</v>
      </c>
      <c r="C169" s="4"/>
      <c r="D169" s="4" t="s">
        <v>411</v>
      </c>
      <c r="E169" s="4">
        <v>9534132097</v>
      </c>
      <c r="F169" s="4">
        <v>819</v>
      </c>
      <c r="G169" s="4">
        <v>3937</v>
      </c>
      <c r="H169" s="4"/>
      <c r="I169" s="4"/>
      <c r="J169" s="4" t="s">
        <v>264</v>
      </c>
    </row>
    <row r="170" spans="1:10" x14ac:dyDescent="0.25">
      <c r="A170" s="4">
        <v>7314937389</v>
      </c>
      <c r="B170" s="4" t="s">
        <v>174</v>
      </c>
      <c r="C170" s="4"/>
      <c r="D170" s="4" t="s">
        <v>412</v>
      </c>
      <c r="E170" s="4">
        <v>9471185628</v>
      </c>
      <c r="F170" s="4">
        <v>892</v>
      </c>
      <c r="G170" s="4">
        <v>3961</v>
      </c>
      <c r="H170" s="4"/>
      <c r="I170" s="4"/>
      <c r="J170" s="4" t="s">
        <v>271</v>
      </c>
    </row>
    <row r="171" spans="1:10" x14ac:dyDescent="0.25">
      <c r="A171" s="4">
        <v>7647283369</v>
      </c>
      <c r="B171" s="4" t="s">
        <v>175</v>
      </c>
      <c r="C171" s="4"/>
      <c r="D171" s="4" t="s">
        <v>413</v>
      </c>
      <c r="E171" s="4">
        <v>9431574156</v>
      </c>
      <c r="F171" s="4">
        <v>882</v>
      </c>
      <c r="G171" s="4">
        <v>3839</v>
      </c>
      <c r="H171" s="4"/>
      <c r="I171" s="4"/>
      <c r="J171" s="4" t="s">
        <v>264</v>
      </c>
    </row>
    <row r="172" spans="1:10" x14ac:dyDescent="0.25">
      <c r="A172" s="4">
        <v>5795719537</v>
      </c>
      <c r="B172" s="4" t="s">
        <v>176</v>
      </c>
      <c r="C172" s="4"/>
      <c r="D172" s="4" t="s">
        <v>414</v>
      </c>
      <c r="E172" s="4">
        <v>9304494537</v>
      </c>
      <c r="F172" s="4">
        <v>838</v>
      </c>
      <c r="G172" s="4">
        <v>3831</v>
      </c>
      <c r="H172" s="4"/>
      <c r="I172" s="4"/>
      <c r="J172" s="4" t="s">
        <v>264</v>
      </c>
    </row>
    <row r="173" spans="1:10" x14ac:dyDescent="0.25">
      <c r="A173" s="4">
        <v>2785954584</v>
      </c>
      <c r="B173" s="4" t="s">
        <v>178</v>
      </c>
      <c r="C173" s="4"/>
      <c r="D173" s="4" t="s">
        <v>415</v>
      </c>
      <c r="E173" s="4">
        <v>9431741666</v>
      </c>
      <c r="F173" s="4">
        <v>837</v>
      </c>
      <c r="G173" s="4">
        <v>3889</v>
      </c>
      <c r="H173" s="4"/>
      <c r="I173" s="4"/>
      <c r="J173" s="4" t="s">
        <v>264</v>
      </c>
    </row>
    <row r="174" spans="1:10" x14ac:dyDescent="0.25">
      <c r="A174" s="4">
        <v>5952977070</v>
      </c>
      <c r="B174" s="4" t="s">
        <v>179</v>
      </c>
      <c r="C174" s="4" t="str">
        <f>VLOOKUP(A174,[1]Tatanagar!$E:$J,6,FALSE)</f>
        <v>jh.bsj</v>
      </c>
      <c r="D174" s="4" t="s">
        <v>416</v>
      </c>
      <c r="E174" s="4">
        <v>8340585985</v>
      </c>
      <c r="F174" s="4">
        <v>890</v>
      </c>
      <c r="G174" s="4">
        <v>3911</v>
      </c>
      <c r="H174" s="4" t="str">
        <f>VLOOKUP(A174,[1]Tatanagar!$E:$N,10,FALSE)</f>
        <v>TATA Edge Core Port no. 15</v>
      </c>
      <c r="I174" s="4"/>
      <c r="J174" s="4" t="s">
        <v>271</v>
      </c>
    </row>
    <row r="175" spans="1:10" x14ac:dyDescent="0.25">
      <c r="A175" s="4">
        <v>7456677289</v>
      </c>
      <c r="B175" s="4" t="s">
        <v>180</v>
      </c>
      <c r="C175" s="4"/>
      <c r="D175" s="4" t="s">
        <v>180</v>
      </c>
      <c r="E175" s="4">
        <v>9334486403</v>
      </c>
      <c r="F175" s="4">
        <v>826</v>
      </c>
      <c r="G175" s="4">
        <v>3826</v>
      </c>
      <c r="H175" s="4"/>
      <c r="I175" s="4"/>
      <c r="J175" s="4" t="s">
        <v>264</v>
      </c>
    </row>
    <row r="176" spans="1:10" x14ac:dyDescent="0.25">
      <c r="A176" s="4">
        <v>1188082699</v>
      </c>
      <c r="B176" s="4" t="s">
        <v>181</v>
      </c>
      <c r="C176" s="4"/>
      <c r="D176" s="4" t="s">
        <v>417</v>
      </c>
      <c r="E176" s="4">
        <v>9835506592</v>
      </c>
      <c r="F176" s="4">
        <v>875</v>
      </c>
      <c r="G176" s="4">
        <v>3192</v>
      </c>
      <c r="H176" s="4"/>
      <c r="I176" s="4"/>
      <c r="J176" s="4" t="s">
        <v>264</v>
      </c>
    </row>
    <row r="177" spans="1:10" x14ac:dyDescent="0.25">
      <c r="A177" s="4">
        <v>6656211665</v>
      </c>
      <c r="B177" s="4" t="s">
        <v>182</v>
      </c>
      <c r="C177" s="4" t="str">
        <f>VLOOKUP(A177,[1]Tatanagar!$E:$J,6,FALSE)</f>
        <v>jh.hoc</v>
      </c>
      <c r="D177" s="4" t="s">
        <v>418</v>
      </c>
      <c r="E177" s="4">
        <v>9431542996</v>
      </c>
      <c r="F177" s="4">
        <v>844</v>
      </c>
      <c r="G177" s="4">
        <v>3904</v>
      </c>
      <c r="H177" s="4" t="str">
        <f>VLOOKUP(A177,[1]Tatanagar!$E:$N,10,FALSE)</f>
        <v>CKU OLT Port no. 5 &gt;&gt; Need to shift OLT to SWITCH Port no. 10</v>
      </c>
      <c r="I177" s="4"/>
      <c r="J177" s="4" t="s">
        <v>271</v>
      </c>
    </row>
    <row r="178" spans="1:10" x14ac:dyDescent="0.25">
      <c r="A178" s="4">
        <v>1441026587</v>
      </c>
      <c r="B178" s="4" t="s">
        <v>183</v>
      </c>
      <c r="C178" s="4" t="str">
        <f>VLOOKUP(A178,[1]Tatanagar!$E:$J,6,FALSE)</f>
        <v>jh.ssp</v>
      </c>
      <c r="D178" s="4" t="s">
        <v>419</v>
      </c>
      <c r="E178" s="4">
        <v>9570662555</v>
      </c>
      <c r="F178" s="4">
        <v>890</v>
      </c>
      <c r="G178" s="4">
        <v>3834</v>
      </c>
      <c r="H178" s="4" t="str">
        <f>VLOOKUP(A178,[1]Tatanagar!$E:$N,10,FALSE)</f>
        <v>AGNP Switch Pratik Infotech</v>
      </c>
      <c r="I178" s="4"/>
      <c r="J178" s="4" t="s">
        <v>271</v>
      </c>
    </row>
    <row r="179" spans="1:10" x14ac:dyDescent="0.25">
      <c r="A179" s="4">
        <v>3579877656</v>
      </c>
      <c r="B179" s="4" t="s">
        <v>184</v>
      </c>
      <c r="C179" s="4"/>
      <c r="D179" s="4" t="s">
        <v>420</v>
      </c>
      <c r="E179" s="4">
        <v>7061438113</v>
      </c>
      <c r="F179" s="4">
        <v>880</v>
      </c>
      <c r="G179" s="4">
        <v>3842</v>
      </c>
      <c r="H179" s="4"/>
      <c r="I179" s="4"/>
      <c r="J179" s="4" t="s">
        <v>264</v>
      </c>
    </row>
    <row r="180" spans="1:10" x14ac:dyDescent="0.25">
      <c r="A180" s="4">
        <v>8320458644</v>
      </c>
      <c r="B180" s="4" t="s">
        <v>185</v>
      </c>
      <c r="C180" s="4"/>
      <c r="D180" s="4" t="s">
        <v>421</v>
      </c>
      <c r="E180" s="4">
        <v>9431164996</v>
      </c>
      <c r="F180" s="4">
        <v>801</v>
      </c>
      <c r="G180" s="4">
        <v>3968</v>
      </c>
      <c r="H180" s="4"/>
      <c r="I180" s="4"/>
      <c r="J180" s="4" t="s">
        <v>264</v>
      </c>
    </row>
    <row r="181" spans="1:10" x14ac:dyDescent="0.25">
      <c r="A181" s="4">
        <v>3350895733</v>
      </c>
      <c r="B181" s="4" t="s">
        <v>186</v>
      </c>
      <c r="C181" s="4"/>
      <c r="D181" s="4" t="s">
        <v>186</v>
      </c>
      <c r="E181" s="4">
        <v>9798256365</v>
      </c>
      <c r="F181" s="4">
        <v>882</v>
      </c>
      <c r="G181" s="4">
        <v>3840</v>
      </c>
      <c r="H181" s="4"/>
      <c r="I181" s="4"/>
      <c r="J181" s="4" t="s">
        <v>264</v>
      </c>
    </row>
    <row r="182" spans="1:10" x14ac:dyDescent="0.25">
      <c r="A182" s="4">
        <v>4805111999</v>
      </c>
      <c r="B182" s="4" t="s">
        <v>187</v>
      </c>
      <c r="C182" s="4" t="str">
        <f>VLOOKUP(A182,[1]Tatanagar!$E:$J,6,FALSE)</f>
        <v>jh.nct</v>
      </c>
      <c r="D182" s="4" t="s">
        <v>422</v>
      </c>
      <c r="E182" s="4">
        <v>8987745409</v>
      </c>
      <c r="F182" s="4">
        <v>890</v>
      </c>
      <c r="G182" s="4">
        <v>3866</v>
      </c>
      <c r="H182" s="4" t="str">
        <f>VLOOKUP(A182,[1]Tatanagar!$E:$N,10,FALSE)</f>
        <v>MetaMorphic Port : Edge Core Switch Port no. 28</v>
      </c>
      <c r="I182" s="4" t="str">
        <f>VLOOKUP(A182,[1]Tatanagar!$E:$O,11,FALSE)</f>
        <v>MetaMorphic Port : Edge Core Switch Port no. 28</v>
      </c>
      <c r="J182" s="4" t="s">
        <v>271</v>
      </c>
    </row>
    <row r="183" spans="1:10" x14ac:dyDescent="0.25">
      <c r="A183" s="4">
        <v>5445180158</v>
      </c>
      <c r="B183" s="4" t="s">
        <v>188</v>
      </c>
      <c r="C183" s="4"/>
      <c r="D183" s="4" t="s">
        <v>423</v>
      </c>
      <c r="E183" s="4">
        <v>7903244542</v>
      </c>
      <c r="F183" s="4">
        <v>827</v>
      </c>
      <c r="G183" s="4">
        <v>3920</v>
      </c>
      <c r="H183" s="4"/>
      <c r="I183" s="4"/>
      <c r="J183" s="4" t="s">
        <v>264</v>
      </c>
    </row>
    <row r="184" spans="1:10" x14ac:dyDescent="0.25">
      <c r="A184" s="4">
        <v>5042838277</v>
      </c>
      <c r="B184" s="4" t="s">
        <v>189</v>
      </c>
      <c r="C184" s="4"/>
      <c r="D184" s="4" t="s">
        <v>424</v>
      </c>
      <c r="E184" s="4">
        <v>7903719826</v>
      </c>
      <c r="F184" s="4">
        <v>1303</v>
      </c>
      <c r="G184" s="4">
        <v>3895</v>
      </c>
      <c r="H184" s="4"/>
      <c r="I184" s="4"/>
      <c r="J184" s="4" t="s">
        <v>271</v>
      </c>
    </row>
    <row r="185" spans="1:10" x14ac:dyDescent="0.25">
      <c r="A185" s="4">
        <v>6443213937</v>
      </c>
      <c r="B185" s="4" t="s">
        <v>190</v>
      </c>
      <c r="C185" s="4" t="str">
        <f>VLOOKUP(A185,[1]Tatanagar!$E:$J,6,FALSE)</f>
        <v>jh.mbsls</v>
      </c>
      <c r="D185" s="4" t="s">
        <v>425</v>
      </c>
      <c r="E185" s="4">
        <v>9431117662</v>
      </c>
      <c r="F185" s="4">
        <v>890</v>
      </c>
      <c r="G185" s="4">
        <v>131</v>
      </c>
      <c r="H185" s="4" t="str">
        <f>VLOOKUP(A185,[1]Tatanagar!$E:$N,10,FALSE)</f>
        <v>MetaMorphic Port : Edge Core Switch Port no. 28</v>
      </c>
      <c r="I185" s="4"/>
      <c r="J185" s="4" t="s">
        <v>271</v>
      </c>
    </row>
    <row r="186" spans="1:10" x14ac:dyDescent="0.25">
      <c r="A186" s="4">
        <v>6444614161</v>
      </c>
      <c r="B186" s="4" t="s">
        <v>191</v>
      </c>
      <c r="C186" s="4"/>
      <c r="D186" s="4" t="s">
        <v>426</v>
      </c>
      <c r="E186" s="4">
        <v>7979072298</v>
      </c>
      <c r="F186" s="4">
        <v>815</v>
      </c>
      <c r="G186" s="4">
        <v>3910</v>
      </c>
      <c r="H186" s="4"/>
      <c r="I186" s="4"/>
      <c r="J186" s="4" t="s">
        <v>264</v>
      </c>
    </row>
    <row r="187" spans="1:10" x14ac:dyDescent="0.25">
      <c r="A187" s="4">
        <v>4668486040</v>
      </c>
      <c r="B187" s="4" t="s">
        <v>192</v>
      </c>
      <c r="C187" s="4"/>
      <c r="D187" s="4" t="s">
        <v>427</v>
      </c>
      <c r="E187" s="4">
        <v>9304325501</v>
      </c>
      <c r="F187" s="4">
        <v>822</v>
      </c>
      <c r="G187" s="4">
        <v>3881</v>
      </c>
      <c r="H187" s="4"/>
      <c r="I187" s="4"/>
      <c r="J187" s="4" t="s">
        <v>264</v>
      </c>
    </row>
    <row r="188" spans="1:10" x14ac:dyDescent="0.25">
      <c r="A188" s="4">
        <v>1297877629</v>
      </c>
      <c r="B188" s="4" t="s">
        <v>193</v>
      </c>
      <c r="C188" s="4" t="str">
        <f>VLOOKUP(A188,[1]Tatanagar!$E:$J,6,FALSE)</f>
        <v>jh.vcn</v>
      </c>
      <c r="D188" s="4" t="s">
        <v>428</v>
      </c>
      <c r="E188" s="4">
        <v>9801238353</v>
      </c>
      <c r="F188" s="4">
        <v>844</v>
      </c>
      <c r="G188" s="4">
        <v>3903</v>
      </c>
      <c r="H188" s="4" t="str">
        <f>VLOOKUP(A188,[1]Tatanagar!$E:$N,10,FALSE)</f>
        <v>Ghatsila D-Link Switch Port no. 8</v>
      </c>
      <c r="I188" s="4"/>
      <c r="J188" s="4" t="s">
        <v>271</v>
      </c>
    </row>
    <row r="189" spans="1:10" x14ac:dyDescent="0.25">
      <c r="A189" s="4">
        <v>3472525793</v>
      </c>
      <c r="B189" s="4" t="s">
        <v>194</v>
      </c>
      <c r="C189" s="4"/>
      <c r="D189" s="4" t="s">
        <v>220</v>
      </c>
      <c r="E189" s="4">
        <v>9835760060</v>
      </c>
      <c r="F189" s="4">
        <v>825</v>
      </c>
      <c r="G189" s="4">
        <v>3869</v>
      </c>
      <c r="H189" s="4"/>
      <c r="I189" s="4"/>
      <c r="J189" s="4" t="s">
        <v>267</v>
      </c>
    </row>
    <row r="190" spans="1:10" x14ac:dyDescent="0.25">
      <c r="A190" s="4">
        <v>6833487134</v>
      </c>
      <c r="B190" s="4" t="s">
        <v>195</v>
      </c>
      <c r="C190" s="4"/>
      <c r="D190" s="4" t="s">
        <v>429</v>
      </c>
      <c r="E190" s="4">
        <v>9431375952</v>
      </c>
      <c r="F190" s="4">
        <v>825</v>
      </c>
      <c r="G190" s="4">
        <v>3932</v>
      </c>
      <c r="H190" s="4"/>
      <c r="I190" s="4"/>
      <c r="J190" s="4" t="s">
        <v>264</v>
      </c>
    </row>
    <row r="191" spans="1:10" x14ac:dyDescent="0.25">
      <c r="A191" s="4">
        <v>3475055686</v>
      </c>
      <c r="B191" s="4" t="s">
        <v>196</v>
      </c>
      <c r="C191" s="4"/>
      <c r="D191" s="4" t="s">
        <v>430</v>
      </c>
      <c r="E191" s="4">
        <v>7903362721</v>
      </c>
      <c r="F191" s="4">
        <v>815</v>
      </c>
      <c r="G191" s="4">
        <v>3910</v>
      </c>
      <c r="H191" s="4"/>
      <c r="I191" s="4"/>
      <c r="J191" s="4" t="s">
        <v>264</v>
      </c>
    </row>
    <row r="192" spans="1:10" x14ac:dyDescent="0.25">
      <c r="A192" s="4">
        <v>2897042119</v>
      </c>
      <c r="B192" s="4" t="s">
        <v>197</v>
      </c>
      <c r="C192" s="4" t="str">
        <f>VLOOKUP(A192,[1]Tatanagar!$E:$J,6,FALSE)</f>
        <v>jh.rsj</v>
      </c>
      <c r="D192" s="4" t="s">
        <v>197</v>
      </c>
      <c r="E192" s="4">
        <v>9431381731</v>
      </c>
      <c r="F192" s="4">
        <v>4011</v>
      </c>
      <c r="G192" s="4">
        <v>3887</v>
      </c>
      <c r="H192" s="4" t="str">
        <f>VLOOKUP(A192,[1]Tatanagar!$E:$N,10,FALSE)</f>
        <v>AGNP Switch Pratik Infotech</v>
      </c>
      <c r="I192" s="4"/>
      <c r="J192" s="4" t="s">
        <v>270</v>
      </c>
    </row>
    <row r="193" spans="1:10" x14ac:dyDescent="0.25">
      <c r="A193" s="4">
        <v>8737451302</v>
      </c>
      <c r="B193" s="4" t="s">
        <v>198</v>
      </c>
      <c r="C193" s="4"/>
      <c r="D193" s="4" t="s">
        <v>431</v>
      </c>
      <c r="E193" s="4">
        <v>7870611208</v>
      </c>
      <c r="F193" s="4">
        <v>1323</v>
      </c>
      <c r="G193" s="4">
        <v>3880</v>
      </c>
      <c r="H193" s="4"/>
      <c r="I193" s="4"/>
      <c r="J193" s="4" t="s">
        <v>264</v>
      </c>
    </row>
    <row r="194" spans="1:10" x14ac:dyDescent="0.25">
      <c r="A194" s="4">
        <v>1163822769</v>
      </c>
      <c r="B194" s="4" t="s">
        <v>199</v>
      </c>
      <c r="C194" s="4"/>
      <c r="D194" s="4" t="s">
        <v>220</v>
      </c>
      <c r="E194" s="4">
        <v>9386369286</v>
      </c>
      <c r="F194" s="4">
        <v>850</v>
      </c>
      <c r="G194" s="4">
        <v>3999</v>
      </c>
      <c r="H194" s="4"/>
      <c r="I194" s="4"/>
      <c r="J194" s="4" t="s">
        <v>264</v>
      </c>
    </row>
    <row r="195" spans="1:10" x14ac:dyDescent="0.25">
      <c r="A195" s="4">
        <v>5521997030</v>
      </c>
      <c r="B195" s="4" t="s">
        <v>200</v>
      </c>
      <c r="C195" s="4"/>
      <c r="D195" s="4" t="s">
        <v>432</v>
      </c>
      <c r="E195" s="4">
        <v>9835320090</v>
      </c>
      <c r="F195" s="4">
        <v>870</v>
      </c>
      <c r="G195" s="4">
        <v>3943</v>
      </c>
      <c r="H195" s="4"/>
      <c r="I195" s="4"/>
      <c r="J195" s="4" t="s">
        <v>264</v>
      </c>
    </row>
    <row r="196" spans="1:10" x14ac:dyDescent="0.25">
      <c r="A196" s="4">
        <v>4991250698</v>
      </c>
      <c r="B196" s="4" t="s">
        <v>201</v>
      </c>
      <c r="C196" s="4"/>
      <c r="D196" s="4" t="s">
        <v>201</v>
      </c>
      <c r="E196" s="4">
        <v>9576116157</v>
      </c>
      <c r="F196" s="4">
        <v>857</v>
      </c>
      <c r="G196" s="4">
        <v>3270</v>
      </c>
      <c r="H196" s="4"/>
      <c r="I196" s="4"/>
      <c r="J196" s="4" t="s">
        <v>264</v>
      </c>
    </row>
    <row r="197" spans="1:10" x14ac:dyDescent="0.25">
      <c r="A197" s="4">
        <v>7619094759</v>
      </c>
      <c r="B197" s="4" t="s">
        <v>202</v>
      </c>
      <c r="C197" s="4" t="str">
        <f>VLOOKUP(A197,[1]Tatanagar!$E:$J,6,FALSE)</f>
        <v>jh.op</v>
      </c>
      <c r="D197" s="4" t="s">
        <v>433</v>
      </c>
      <c r="E197" s="4">
        <v>9534463285</v>
      </c>
      <c r="F197" s="4">
        <v>844</v>
      </c>
      <c r="G197" s="4">
        <v>3902</v>
      </c>
      <c r="H197" s="4" t="str">
        <f>VLOOKUP(A197,[1]Tatanagar!$E:$N,10,FALSE)</f>
        <v>Ghatsila D-Link Switch Port no. 5</v>
      </c>
      <c r="I197" s="4"/>
      <c r="J197" s="4" t="s">
        <v>271</v>
      </c>
    </row>
    <row r="198" spans="1:10" x14ac:dyDescent="0.25">
      <c r="A198" s="4">
        <v>8082129789</v>
      </c>
      <c r="B198" s="4" t="s">
        <v>203</v>
      </c>
      <c r="C198" s="4"/>
      <c r="D198" s="4" t="s">
        <v>434</v>
      </c>
      <c r="E198" s="4">
        <v>9431337198</v>
      </c>
      <c r="F198" s="4">
        <v>827</v>
      </c>
      <c r="G198" s="4">
        <v>3921</v>
      </c>
      <c r="H198" s="4"/>
      <c r="I198" s="4"/>
      <c r="J198" s="4" t="s">
        <v>264</v>
      </c>
    </row>
    <row r="199" spans="1:10" x14ac:dyDescent="0.25">
      <c r="A199" s="4">
        <v>1936579180</v>
      </c>
      <c r="B199" s="4" t="s">
        <v>204</v>
      </c>
      <c r="C199" s="4"/>
      <c r="D199" s="4" t="s">
        <v>435</v>
      </c>
      <c r="E199" s="4">
        <v>9835107248</v>
      </c>
      <c r="F199" s="4">
        <v>835</v>
      </c>
      <c r="G199" s="4">
        <v>3938</v>
      </c>
      <c r="H199" s="4"/>
      <c r="I199" s="4"/>
      <c r="J199" s="4" t="s">
        <v>264</v>
      </c>
    </row>
    <row r="200" spans="1:10" x14ac:dyDescent="0.25">
      <c r="A200" s="4">
        <v>1962495733</v>
      </c>
      <c r="B200" s="4" t="s">
        <v>205</v>
      </c>
      <c r="C200" s="4"/>
      <c r="D200" s="4" t="s">
        <v>436</v>
      </c>
      <c r="E200" s="4">
        <v>9110062512</v>
      </c>
      <c r="F200" s="4">
        <v>801</v>
      </c>
      <c r="G200" s="4">
        <v>3950</v>
      </c>
      <c r="H200" s="4"/>
      <c r="I200" s="4"/>
      <c r="J200" s="4" t="s">
        <v>264</v>
      </c>
    </row>
    <row r="201" spans="1:10" x14ac:dyDescent="0.25">
      <c r="A201" s="4">
        <v>2702931898</v>
      </c>
      <c r="B201" s="4" t="s">
        <v>206</v>
      </c>
      <c r="C201" s="4"/>
      <c r="D201" s="4" t="s">
        <v>437</v>
      </c>
      <c r="E201" s="4">
        <v>9771834381</v>
      </c>
      <c r="F201" s="4">
        <v>882</v>
      </c>
      <c r="G201" s="4">
        <v>3872</v>
      </c>
      <c r="H201" s="4"/>
      <c r="I201" s="4"/>
      <c r="J201" s="4" t="s">
        <v>264</v>
      </c>
    </row>
    <row r="202" spans="1:10" x14ac:dyDescent="0.25">
      <c r="A202" s="4">
        <v>7772584579</v>
      </c>
      <c r="B202" s="4" t="s">
        <v>207</v>
      </c>
      <c r="C202" s="4"/>
      <c r="D202" s="4" t="s">
        <v>438</v>
      </c>
      <c r="E202" s="4">
        <v>9905598164</v>
      </c>
      <c r="F202" s="4">
        <v>866</v>
      </c>
      <c r="G202" s="4">
        <v>3862</v>
      </c>
      <c r="H202" s="4"/>
      <c r="I202" s="4"/>
      <c r="J202" s="4" t="s">
        <v>271</v>
      </c>
    </row>
    <row r="203" spans="1:10" x14ac:dyDescent="0.25">
      <c r="A203" s="4">
        <v>6459548335</v>
      </c>
      <c r="B203" s="4" t="s">
        <v>208</v>
      </c>
      <c r="C203" s="4" t="str">
        <f>VLOOKUP(A203,[1]Tatanagar!$E:$J,6,FALSE)</f>
        <v>jh.pkj</v>
      </c>
      <c r="D203" s="4" t="s">
        <v>439</v>
      </c>
      <c r="E203" s="4">
        <v>9334800378</v>
      </c>
      <c r="F203" s="4">
        <v>890</v>
      </c>
      <c r="G203" s="4">
        <v>3892</v>
      </c>
      <c r="H203" s="4" t="str">
        <f>VLOOKUP(A203,[1]Tatanagar!$E:$N,10,FALSE)</f>
        <v>TATA Switch Port no. 9</v>
      </c>
      <c r="I203" s="4"/>
      <c r="J203" s="4" t="s">
        <v>271</v>
      </c>
    </row>
    <row r="204" spans="1:10" x14ac:dyDescent="0.25">
      <c r="A204" s="4">
        <v>1570669308</v>
      </c>
      <c r="B204" s="4" t="s">
        <v>209</v>
      </c>
      <c r="C204" s="4"/>
      <c r="D204" s="4" t="s">
        <v>440</v>
      </c>
      <c r="E204" s="4">
        <v>8252778277</v>
      </c>
      <c r="F204" s="4">
        <v>814</v>
      </c>
      <c r="G204" s="4">
        <v>3948</v>
      </c>
      <c r="H204" s="4"/>
      <c r="I204" s="4"/>
      <c r="J204" s="4" t="s">
        <v>264</v>
      </c>
    </row>
    <row r="205" spans="1:10" x14ac:dyDescent="0.25">
      <c r="A205" s="4">
        <v>1682930418</v>
      </c>
      <c r="B205" s="4" t="s">
        <v>210</v>
      </c>
      <c r="C205" s="4"/>
      <c r="D205" s="4" t="s">
        <v>210</v>
      </c>
      <c r="E205" s="4">
        <v>9334465527</v>
      </c>
      <c r="F205" s="4">
        <v>814</v>
      </c>
      <c r="G205" s="4">
        <v>3857</v>
      </c>
      <c r="H205" s="4"/>
      <c r="I205" s="4"/>
      <c r="J205" s="4" t="s">
        <v>264</v>
      </c>
    </row>
    <row r="206" spans="1:10" x14ac:dyDescent="0.25">
      <c r="A206" s="4">
        <v>4085991855</v>
      </c>
      <c r="B206" s="4" t="s">
        <v>211</v>
      </c>
      <c r="C206" s="4"/>
      <c r="D206" s="4" t="s">
        <v>441</v>
      </c>
      <c r="E206" s="4">
        <v>7903409791</v>
      </c>
      <c r="F206" s="4">
        <v>863</v>
      </c>
      <c r="G206" s="4">
        <v>3929</v>
      </c>
      <c r="H206" s="4"/>
      <c r="I206" s="4"/>
      <c r="J206" s="4" t="s">
        <v>271</v>
      </c>
    </row>
    <row r="207" spans="1:10" x14ac:dyDescent="0.25">
      <c r="A207" s="4">
        <v>6515115933</v>
      </c>
      <c r="B207" s="4" t="s">
        <v>212</v>
      </c>
      <c r="C207" s="4" t="str">
        <f>VLOOKUP(A207,[1]Tatanagar!$E:$J,6,FALSE)</f>
        <v>jh.mdg</v>
      </c>
      <c r="D207" s="4" t="s">
        <v>442</v>
      </c>
      <c r="E207" s="4">
        <v>9431347841</v>
      </c>
      <c r="F207" s="4">
        <v>844</v>
      </c>
      <c r="G207" s="4">
        <v>3965</v>
      </c>
      <c r="H207" s="4" t="str">
        <f>VLOOKUP(A207,[1]Tatanagar!$E:$N,10,FALSE)</f>
        <v>NEED TO FIND DETAILS</v>
      </c>
      <c r="I207" s="4"/>
      <c r="J207" s="4" t="s">
        <v>271</v>
      </c>
    </row>
    <row r="208" spans="1:10" x14ac:dyDescent="0.25">
      <c r="A208" s="4">
        <v>5521898710</v>
      </c>
      <c r="B208" s="4" t="s">
        <v>213</v>
      </c>
      <c r="C208" s="4" t="str">
        <f>VLOOKUP(A208,[1]Tatanagar!$E:$J,6,FALSE)</f>
        <v>jh.bke</v>
      </c>
      <c r="D208" s="4" t="s">
        <v>443</v>
      </c>
      <c r="E208" s="4">
        <v>9110973607</v>
      </c>
      <c r="F208" s="4">
        <v>4011</v>
      </c>
      <c r="G208" s="4">
        <v>3864</v>
      </c>
      <c r="H208" s="4" t="str">
        <f>VLOOKUP(A208,[1]Tatanagar!$E:$N,10,FALSE)</f>
        <v>TATA D-Link Switch Port no. 7</v>
      </c>
      <c r="I208" s="4"/>
      <c r="J208" s="4" t="s">
        <v>270</v>
      </c>
    </row>
    <row r="209" spans="1:10" x14ac:dyDescent="0.25">
      <c r="A209" s="4">
        <v>2868583648</v>
      </c>
      <c r="B209" s="4" t="s">
        <v>214</v>
      </c>
      <c r="C209" s="4"/>
      <c r="D209" s="4" t="s">
        <v>444</v>
      </c>
      <c r="E209" s="4">
        <v>8789295417</v>
      </c>
      <c r="F209" s="4">
        <v>1303</v>
      </c>
      <c r="G209" s="4">
        <v>3854</v>
      </c>
      <c r="H209" s="4"/>
      <c r="I209" s="4"/>
      <c r="J209" s="4" t="s">
        <v>271</v>
      </c>
    </row>
    <row r="210" spans="1:10" x14ac:dyDescent="0.25">
      <c r="A210" s="4">
        <v>7387228722</v>
      </c>
      <c r="B210" s="4" t="s">
        <v>215</v>
      </c>
      <c r="C210" s="4"/>
      <c r="D210" s="4" t="s">
        <v>215</v>
      </c>
      <c r="E210" s="4">
        <v>9939578978</v>
      </c>
      <c r="F210" s="4">
        <v>847</v>
      </c>
      <c r="G210" s="4">
        <v>3879</v>
      </c>
      <c r="H210" s="4"/>
      <c r="I210" s="4"/>
      <c r="J210" s="4" t="s">
        <v>264</v>
      </c>
    </row>
    <row r="211" spans="1:10" x14ac:dyDescent="0.25">
      <c r="A211" s="4">
        <v>8745578803</v>
      </c>
      <c r="B211" s="4" t="s">
        <v>216</v>
      </c>
      <c r="C211" s="4"/>
      <c r="D211" s="4" t="s">
        <v>445</v>
      </c>
      <c r="E211" s="4">
        <v>8789418730</v>
      </c>
      <c r="F211" s="4">
        <v>1318</v>
      </c>
      <c r="G211" s="4">
        <v>3853</v>
      </c>
      <c r="H211" s="4"/>
      <c r="I211" s="4"/>
      <c r="J211" s="4" t="s">
        <v>264</v>
      </c>
    </row>
    <row r="212" spans="1:10" x14ac:dyDescent="0.25">
      <c r="A212" s="4">
        <v>2167791239</v>
      </c>
      <c r="B212" s="4" t="s">
        <v>217</v>
      </c>
      <c r="C212" s="4"/>
      <c r="D212" s="4" t="s">
        <v>446</v>
      </c>
      <c r="E212" s="4">
        <v>7004827956</v>
      </c>
      <c r="F212" s="4">
        <v>878</v>
      </c>
      <c r="G212" s="4">
        <v>3884</v>
      </c>
      <c r="H212" s="4"/>
      <c r="I212" s="4"/>
      <c r="J212" s="4" t="s">
        <v>264</v>
      </c>
    </row>
    <row r="213" spans="1:10" x14ac:dyDescent="0.25">
      <c r="A213" s="4">
        <v>8422396538</v>
      </c>
      <c r="B213" s="4" t="s">
        <v>218</v>
      </c>
      <c r="C213" s="4" t="str">
        <f>VLOOKUP(A213,[1]Tatanagar!$E:$J,6,FALSE)</f>
        <v>jh.jccn</v>
      </c>
      <c r="D213" s="4" t="s">
        <v>447</v>
      </c>
      <c r="E213" s="4">
        <v>9431751638</v>
      </c>
      <c r="F213" s="4">
        <v>4011</v>
      </c>
      <c r="G213" s="4">
        <v>3865</v>
      </c>
      <c r="H213" s="4" t="str">
        <f>VLOOKUP(A213,[1]Tatanagar!$E:$N,10,FALSE)</f>
        <v>NKE POP Switch Port no. 4</v>
      </c>
      <c r="I213" s="4"/>
      <c r="J213" s="4" t="s">
        <v>270</v>
      </c>
    </row>
    <row r="214" spans="1:10" x14ac:dyDescent="0.25">
      <c r="A214" s="4">
        <v>1296956106</v>
      </c>
      <c r="B214" s="4" t="s">
        <v>219</v>
      </c>
      <c r="C214" s="4"/>
      <c r="D214" s="4" t="s">
        <v>448</v>
      </c>
      <c r="E214" s="4">
        <v>8580245866</v>
      </c>
      <c r="F214" s="4">
        <v>866</v>
      </c>
      <c r="G214" s="4">
        <v>3179</v>
      </c>
      <c r="H214" s="4"/>
      <c r="I214" s="4"/>
      <c r="J214" s="4" t="s">
        <v>271</v>
      </c>
    </row>
    <row r="215" spans="1:10" x14ac:dyDescent="0.25">
      <c r="A215" s="4">
        <v>8679251621</v>
      </c>
      <c r="B215" s="4" t="s">
        <v>220</v>
      </c>
      <c r="C215" s="4" t="str">
        <f>VLOOKUP(A215,[1]Tatanagar!$E:$J,6,FALSE)</f>
        <v>jh.skc / jh.skcg</v>
      </c>
      <c r="D215" s="4" t="s">
        <v>220</v>
      </c>
      <c r="E215" s="4">
        <v>9334132334</v>
      </c>
      <c r="F215" s="4">
        <v>4011</v>
      </c>
      <c r="G215" s="4">
        <v>3901</v>
      </c>
      <c r="H215" s="4" t="str">
        <f>VLOOKUP(A215,[1]Tatanagar!$E:$N,10,FALSE)</f>
        <v>SALGAJODI EAST // Need to Find Details</v>
      </c>
      <c r="I215" s="4"/>
      <c r="J215" s="4" t="s">
        <v>270</v>
      </c>
    </row>
    <row r="216" spans="1:10" x14ac:dyDescent="0.25">
      <c r="A216" s="4">
        <v>1701531020</v>
      </c>
      <c r="B216" s="4" t="s">
        <v>221</v>
      </c>
      <c r="C216" s="4" t="str">
        <f>VLOOKUP(A216,[1]Tatanagar!$E:$J,6,FALSE)</f>
        <v>jh.bcin</v>
      </c>
      <c r="D216" s="4" t="s">
        <v>449</v>
      </c>
      <c r="E216" s="4">
        <v>9431349237</v>
      </c>
      <c r="F216" s="4">
        <v>890</v>
      </c>
      <c r="G216" s="4">
        <v>3892</v>
      </c>
      <c r="H216" s="4" t="str">
        <f>VLOOKUP(A216,[1]Tatanagar!$E:$N,10,FALSE)</f>
        <v>Edge Core Switch Port no. 7</v>
      </c>
      <c r="I216" s="4"/>
      <c r="J216" s="4" t="s">
        <v>271</v>
      </c>
    </row>
    <row r="217" spans="1:10" x14ac:dyDescent="0.25">
      <c r="A217" s="4">
        <v>8933728890</v>
      </c>
      <c r="B217" s="4" t="s">
        <v>222</v>
      </c>
      <c r="C217" s="4" t="str">
        <f>VLOOKUP(A217,[1]Tatanagar!$E:$J,6,FALSE)</f>
        <v>jh.mr / jh.msj</v>
      </c>
      <c r="D217" s="4" t="s">
        <v>222</v>
      </c>
      <c r="E217" s="4">
        <v>9431303185</v>
      </c>
      <c r="F217" s="4">
        <v>890</v>
      </c>
      <c r="G217" s="4">
        <v>3891</v>
      </c>
      <c r="H217" s="4" t="str">
        <f>VLOOKUP(A217,[1]Tatanagar!$E:$N,10,FALSE)</f>
        <v>DSW D-Link Port 9</v>
      </c>
      <c r="I217" s="4" t="str">
        <f>VLOOKUP(A217,[1]Tatanagar!$E:$O,11,FALSE)</f>
        <v>DSW D-Link Port no. 10</v>
      </c>
      <c r="J217" s="4" t="s">
        <v>271</v>
      </c>
    </row>
    <row r="218" spans="1:10" x14ac:dyDescent="0.25">
      <c r="A218" s="4">
        <v>5389091540</v>
      </c>
      <c r="B218" s="4" t="s">
        <v>223</v>
      </c>
      <c r="C218" s="4"/>
      <c r="D218" s="4" t="s">
        <v>450</v>
      </c>
      <c r="E218" s="4">
        <v>9431376691</v>
      </c>
      <c r="F218" s="4">
        <v>1314</v>
      </c>
      <c r="G218" s="4">
        <v>3923</v>
      </c>
      <c r="H218" s="4"/>
      <c r="I218" s="4"/>
      <c r="J218" s="4" t="s">
        <v>264</v>
      </c>
    </row>
    <row r="219" spans="1:10" x14ac:dyDescent="0.25">
      <c r="A219" s="4">
        <v>4224683160</v>
      </c>
      <c r="B219" s="4" t="s">
        <v>224</v>
      </c>
      <c r="C219" s="4"/>
      <c r="D219" s="4" t="s">
        <v>451</v>
      </c>
      <c r="E219" s="4">
        <v>9431182831</v>
      </c>
      <c r="F219" s="4">
        <v>1303</v>
      </c>
      <c r="G219" s="4">
        <v>3927</v>
      </c>
      <c r="H219" s="4"/>
      <c r="I219" s="4"/>
      <c r="J219" s="4" t="s">
        <v>271</v>
      </c>
    </row>
    <row r="220" spans="1:10" x14ac:dyDescent="0.25">
      <c r="A220" s="4">
        <v>4630629704</v>
      </c>
      <c r="B220" s="4" t="s">
        <v>225</v>
      </c>
      <c r="C220" s="4"/>
      <c r="D220" s="4" t="s">
        <v>452</v>
      </c>
      <c r="E220" s="4">
        <v>6200551037</v>
      </c>
      <c r="F220" s="4">
        <v>870</v>
      </c>
      <c r="G220" s="4">
        <v>3940</v>
      </c>
      <c r="H220" s="4"/>
      <c r="I220" s="4"/>
      <c r="J220" s="4" t="s">
        <v>264</v>
      </c>
    </row>
    <row r="221" spans="1:10" x14ac:dyDescent="0.25">
      <c r="A221" s="4">
        <v>4681796426</v>
      </c>
      <c r="B221" s="4" t="s">
        <v>226</v>
      </c>
      <c r="C221" s="4"/>
      <c r="D221" s="4" t="s">
        <v>453</v>
      </c>
      <c r="E221" s="4">
        <v>9835513079</v>
      </c>
      <c r="F221" s="4">
        <v>820</v>
      </c>
      <c r="G221" s="4">
        <v>3935</v>
      </c>
      <c r="H221" s="4"/>
      <c r="I221" s="4"/>
      <c r="J221" s="4" t="s">
        <v>264</v>
      </c>
    </row>
    <row r="222" spans="1:10" x14ac:dyDescent="0.25">
      <c r="A222" s="4">
        <v>2249627620</v>
      </c>
      <c r="B222" s="4" t="s">
        <v>227</v>
      </c>
      <c r="C222" s="4"/>
      <c r="D222" s="4" t="s">
        <v>454</v>
      </c>
      <c r="E222" s="4">
        <v>9431154373</v>
      </c>
      <c r="F222" s="4">
        <v>817</v>
      </c>
      <c r="G222" s="4">
        <v>3937</v>
      </c>
      <c r="H222" s="4"/>
      <c r="I222" s="4"/>
      <c r="J222" s="4" t="s">
        <v>264</v>
      </c>
    </row>
    <row r="223" spans="1:10" x14ac:dyDescent="0.25">
      <c r="A223" s="4">
        <v>5592176008</v>
      </c>
      <c r="B223" s="4" t="s">
        <v>228</v>
      </c>
      <c r="C223" s="4"/>
      <c r="D223" s="4" t="s">
        <v>455</v>
      </c>
      <c r="E223" s="4">
        <v>9308525125</v>
      </c>
      <c r="F223" s="4">
        <v>1303</v>
      </c>
      <c r="G223" s="4">
        <v>3925</v>
      </c>
      <c r="H223" s="4"/>
      <c r="I223" s="4"/>
      <c r="J223" s="4" t="s">
        <v>271</v>
      </c>
    </row>
    <row r="224" spans="1:10" x14ac:dyDescent="0.25">
      <c r="A224" s="4">
        <v>4018190938</v>
      </c>
      <c r="B224" s="4" t="s">
        <v>229</v>
      </c>
      <c r="C224" s="4"/>
      <c r="D224" s="4" t="s">
        <v>456</v>
      </c>
      <c r="E224" s="4">
        <v>9708187001</v>
      </c>
      <c r="F224" s="4">
        <v>825</v>
      </c>
      <c r="G224" s="4">
        <v>3924</v>
      </c>
      <c r="H224" s="4"/>
      <c r="I224" s="4"/>
      <c r="J224" s="4" t="s">
        <v>267</v>
      </c>
    </row>
    <row r="225" spans="1:10" x14ac:dyDescent="0.25">
      <c r="A225" s="4">
        <v>4150419983</v>
      </c>
      <c r="B225" s="4" t="s">
        <v>230</v>
      </c>
      <c r="C225" s="4"/>
      <c r="D225" s="4" t="s">
        <v>230</v>
      </c>
      <c r="E225" s="4">
        <v>9334124928</v>
      </c>
      <c r="F225" s="4">
        <v>1303</v>
      </c>
      <c r="G225" s="4">
        <v>3953</v>
      </c>
      <c r="H225" s="4"/>
      <c r="I225" s="4"/>
      <c r="J225" s="4" t="s">
        <v>271</v>
      </c>
    </row>
    <row r="226" spans="1:10" x14ac:dyDescent="0.25">
      <c r="A226" s="4">
        <v>5710525106</v>
      </c>
      <c r="B226" s="4" t="s">
        <v>231</v>
      </c>
      <c r="C226" s="4"/>
      <c r="D226" s="4" t="s">
        <v>457</v>
      </c>
      <c r="E226" s="4">
        <v>8862924362</v>
      </c>
      <c r="F226" s="4">
        <v>823</v>
      </c>
      <c r="G226" s="4">
        <v>3939</v>
      </c>
      <c r="H226" s="4"/>
      <c r="I226" s="4"/>
      <c r="J226" s="4" t="s">
        <v>264</v>
      </c>
    </row>
    <row r="227" spans="1:10" x14ac:dyDescent="0.25">
      <c r="A227" s="4">
        <v>5260582865</v>
      </c>
      <c r="B227" s="4" t="s">
        <v>232</v>
      </c>
      <c r="C227" s="4"/>
      <c r="D227" s="4" t="s">
        <v>458</v>
      </c>
      <c r="E227" s="4">
        <v>8102920303</v>
      </c>
      <c r="F227" s="4">
        <v>870</v>
      </c>
      <c r="G227" s="4">
        <v>3960</v>
      </c>
      <c r="H227" s="4"/>
      <c r="I227" s="4"/>
      <c r="J227" s="4" t="s">
        <v>264</v>
      </c>
    </row>
    <row r="228" spans="1:10" x14ac:dyDescent="0.25">
      <c r="A228" s="4">
        <v>5885562972</v>
      </c>
      <c r="B228" s="4" t="s">
        <v>233</v>
      </c>
      <c r="C228" s="4"/>
      <c r="D228" s="4" t="s">
        <v>233</v>
      </c>
      <c r="E228" s="4">
        <v>9334382195</v>
      </c>
      <c r="F228" s="4">
        <v>816</v>
      </c>
      <c r="G228" s="4">
        <v>3946</v>
      </c>
      <c r="H228" s="4"/>
      <c r="I228" s="4"/>
      <c r="J228" s="4" t="s">
        <v>264</v>
      </c>
    </row>
    <row r="229" spans="1:10" x14ac:dyDescent="0.25">
      <c r="A229" s="4">
        <v>6526924620</v>
      </c>
      <c r="B229" s="4" t="s">
        <v>234</v>
      </c>
      <c r="C229" s="4" t="str">
        <f>VLOOKUP(A229,[1]Tatanagar!$E:$J,6,FALSE)</f>
        <v>jh.rsg / jh.rsn</v>
      </c>
      <c r="D229" s="4" t="s">
        <v>459</v>
      </c>
      <c r="E229" s="4">
        <v>9304910692</v>
      </c>
      <c r="F229" s="4">
        <v>4011</v>
      </c>
      <c r="G229" s="4">
        <v>3833</v>
      </c>
      <c r="H229" s="4" t="str">
        <f>VLOOKUP(A229,[1]Tatanagar!$E:$N,10,FALSE)</f>
        <v>AGNP Switch Pratik Infotech</v>
      </c>
      <c r="I229" s="4"/>
      <c r="J229" s="4" t="s">
        <v>270</v>
      </c>
    </row>
    <row r="230" spans="1:10" x14ac:dyDescent="0.25">
      <c r="A230" s="4">
        <v>3091264700</v>
      </c>
      <c r="B230" s="4" t="s">
        <v>235</v>
      </c>
      <c r="C230" s="4"/>
      <c r="D230" s="4" t="s">
        <v>235</v>
      </c>
      <c r="E230" s="4">
        <v>9334895959</v>
      </c>
      <c r="F230" s="4">
        <v>1303</v>
      </c>
      <c r="G230" s="4">
        <v>3956</v>
      </c>
      <c r="H230" s="4"/>
      <c r="I230" s="4"/>
      <c r="J230" s="4" t="s">
        <v>271</v>
      </c>
    </row>
    <row r="231" spans="1:10" x14ac:dyDescent="0.25">
      <c r="A231" s="4">
        <v>8942338385</v>
      </c>
      <c r="B231" s="4" t="s">
        <v>236</v>
      </c>
      <c r="C231" s="4"/>
      <c r="D231" s="4" t="s">
        <v>460</v>
      </c>
      <c r="E231" s="4">
        <v>7645803292</v>
      </c>
      <c r="F231" s="4">
        <v>801</v>
      </c>
      <c r="G231" s="4">
        <v>3977</v>
      </c>
      <c r="H231" s="4"/>
      <c r="I231" s="4"/>
      <c r="J231" s="4" t="s">
        <v>264</v>
      </c>
    </row>
    <row r="232" spans="1:10" x14ac:dyDescent="0.25">
      <c r="A232" s="4">
        <v>5648911485</v>
      </c>
      <c r="B232" s="4" t="s">
        <v>237</v>
      </c>
      <c r="C232" s="4"/>
      <c r="D232" s="4" t="s">
        <v>461</v>
      </c>
      <c r="E232" s="4">
        <v>9334526886</v>
      </c>
      <c r="F232" s="4">
        <v>1303</v>
      </c>
      <c r="G232" s="4">
        <v>3967</v>
      </c>
      <c r="H232" s="4"/>
      <c r="I232" s="4"/>
      <c r="J232" s="4" t="s">
        <v>271</v>
      </c>
    </row>
    <row r="233" spans="1:10" x14ac:dyDescent="0.25">
      <c r="A233" s="4">
        <v>7027436764</v>
      </c>
      <c r="B233" s="4" t="s">
        <v>238</v>
      </c>
      <c r="C233" s="4" t="str">
        <f>VLOOKUP(A233,[1]Tatanagar!$E:$J,6,FALSE)</f>
        <v>jh.fth / jh.gts</v>
      </c>
      <c r="D233" s="4" t="s">
        <v>462</v>
      </c>
      <c r="E233" s="4">
        <v>9835383715</v>
      </c>
      <c r="F233" s="4">
        <v>844</v>
      </c>
      <c r="G233" s="4">
        <v>3964</v>
      </c>
      <c r="H233" s="4" t="str">
        <f>VLOOKUP(A233,[1]Tatanagar!$E:$N,10,FALSE)</f>
        <v>Ghatsila POP KMME Switch Port no. 3</v>
      </c>
      <c r="I233" s="4"/>
      <c r="J233" s="4" t="s">
        <v>271</v>
      </c>
    </row>
    <row r="234" spans="1:10" x14ac:dyDescent="0.25">
      <c r="A234" s="4">
        <v>6721148115</v>
      </c>
      <c r="B234" s="4" t="s">
        <v>239</v>
      </c>
      <c r="C234" s="4" t="str">
        <f>VLOOKUP(A234,[1]Tatanagar!$E:$J,6,FALSE)</f>
        <v>jh.mko</v>
      </c>
      <c r="D234" s="4" t="s">
        <v>463</v>
      </c>
      <c r="E234" s="4">
        <v>9234757747</v>
      </c>
      <c r="F234" s="4">
        <v>844</v>
      </c>
      <c r="G234" s="4">
        <v>3973</v>
      </c>
      <c r="H234" s="4" t="str">
        <f>VLOOKUP(A234,[1]Tatanagar!$E:$N,10,FALSE)</f>
        <v>CKP Switch Port no. 4</v>
      </c>
      <c r="I234" s="4"/>
      <c r="J234" s="4" t="s">
        <v>271</v>
      </c>
    </row>
    <row r="235" spans="1:10" x14ac:dyDescent="0.25">
      <c r="A235" s="4">
        <v>6834570680</v>
      </c>
      <c r="B235" s="4" t="s">
        <v>6</v>
      </c>
      <c r="C235" s="4"/>
      <c r="D235" s="4" t="s">
        <v>6</v>
      </c>
      <c r="E235" s="4">
        <v>7004226295</v>
      </c>
      <c r="F235" s="4">
        <v>877</v>
      </c>
      <c r="G235" s="4">
        <v>3987</v>
      </c>
      <c r="H235" s="4"/>
      <c r="I235" s="4"/>
      <c r="J235" s="4" t="s">
        <v>264</v>
      </c>
    </row>
    <row r="236" spans="1:10" x14ac:dyDescent="0.25">
      <c r="A236" s="4">
        <v>6880049887</v>
      </c>
      <c r="B236" s="4" t="s">
        <v>240</v>
      </c>
      <c r="C236" s="4"/>
      <c r="D236" s="4" t="s">
        <v>464</v>
      </c>
      <c r="E236" s="4">
        <v>7903094603</v>
      </c>
      <c r="F236" s="4">
        <v>882</v>
      </c>
      <c r="G236" s="4">
        <v>3802</v>
      </c>
      <c r="H236" s="4"/>
      <c r="I236" s="4"/>
      <c r="J236" s="4" t="s">
        <v>264</v>
      </c>
    </row>
    <row r="237" spans="1:10" x14ac:dyDescent="0.25">
      <c r="A237" s="4">
        <v>6858585919</v>
      </c>
      <c r="B237" s="4" t="s">
        <v>241</v>
      </c>
      <c r="C237" s="4" t="str">
        <f>VLOOKUP(A237,[1]Tatanagar!$E:$J,6,FALSE)</f>
        <v>jh.ckp</v>
      </c>
      <c r="D237" s="4" t="s">
        <v>465</v>
      </c>
      <c r="E237" s="4">
        <v>9386868951</v>
      </c>
      <c r="F237" s="4">
        <v>886</v>
      </c>
      <c r="G237" s="4">
        <v>128</v>
      </c>
      <c r="H237" s="4" t="str">
        <f>VLOOKUP(A237,[1]Tatanagar!$E:$N,10,FALSE)</f>
        <v>CKP Switch Port no. 7</v>
      </c>
      <c r="I237" s="4"/>
      <c r="J237" s="4" t="s">
        <v>270</v>
      </c>
    </row>
    <row r="238" spans="1:10" x14ac:dyDescent="0.25">
      <c r="A238" s="4">
        <v>4022426323</v>
      </c>
      <c r="B238" s="4" t="s">
        <v>242</v>
      </c>
      <c r="C238" s="4" t="str">
        <f>VLOOKUP(A238,[1]Tatanagar!$E:$J,6,FALSE)</f>
        <v>jh.xig</v>
      </c>
      <c r="D238" s="4" t="s">
        <v>466</v>
      </c>
      <c r="E238" s="4">
        <v>9308545721</v>
      </c>
      <c r="F238" s="4">
        <v>890</v>
      </c>
      <c r="G238" s="4">
        <v>124</v>
      </c>
      <c r="H238" s="4" t="str">
        <f>VLOOKUP(A238,[1]Tatanagar!$E:$N,10,FALSE)</f>
        <v>SALGAJODI EAST // Need to Find Details</v>
      </c>
      <c r="I238" s="4"/>
      <c r="J238" s="4" t="s">
        <v>271</v>
      </c>
    </row>
    <row r="239" spans="1:10" x14ac:dyDescent="0.25">
      <c r="A239" s="4">
        <v>7489190652</v>
      </c>
      <c r="B239" s="4" t="s">
        <v>243</v>
      </c>
      <c r="C239" s="4"/>
      <c r="D239" s="4" t="s">
        <v>467</v>
      </c>
      <c r="E239" s="4">
        <v>9546314133</v>
      </c>
      <c r="F239" s="4">
        <v>1221</v>
      </c>
      <c r="G239" s="4">
        <v>3847</v>
      </c>
      <c r="H239" s="4"/>
      <c r="I239" s="4"/>
      <c r="J239" s="4" t="s">
        <v>264</v>
      </c>
    </row>
    <row r="240" spans="1:10" x14ac:dyDescent="0.25">
      <c r="A240" s="4">
        <v>1921163791</v>
      </c>
      <c r="B240" s="4" t="s">
        <v>244</v>
      </c>
      <c r="C240" s="4"/>
      <c r="D240" s="4" t="s">
        <v>468</v>
      </c>
      <c r="E240" s="4">
        <v>9931716646</v>
      </c>
      <c r="F240" s="4">
        <v>801</v>
      </c>
      <c r="G240" s="4">
        <v>3977</v>
      </c>
      <c r="H240" s="4"/>
      <c r="I240" s="4"/>
      <c r="J240" s="4" t="s">
        <v>264</v>
      </c>
    </row>
    <row r="241" spans="1:10" x14ac:dyDescent="0.25">
      <c r="A241" s="4">
        <v>1389751081</v>
      </c>
      <c r="B241" s="4" t="s">
        <v>245</v>
      </c>
      <c r="C241" s="4"/>
      <c r="D241" s="4" t="s">
        <v>469</v>
      </c>
      <c r="E241" s="4">
        <v>9431124044</v>
      </c>
      <c r="F241" s="4">
        <v>1221</v>
      </c>
      <c r="G241" s="4">
        <v>3807</v>
      </c>
      <c r="H241" s="4"/>
      <c r="I241" s="4"/>
      <c r="J241" s="4" t="s">
        <v>264</v>
      </c>
    </row>
    <row r="242" spans="1:10" x14ac:dyDescent="0.25">
      <c r="A242" s="4">
        <v>3990135391</v>
      </c>
      <c r="B242" s="4" t="s">
        <v>246</v>
      </c>
      <c r="C242" s="4" t="str">
        <f>VLOOKUP(A242,[1]Tatanagar!$E:$J,6,FALSE)</f>
        <v>jh.mti</v>
      </c>
      <c r="D242" s="4" t="s">
        <v>470</v>
      </c>
      <c r="E242" s="4">
        <v>9939185246</v>
      </c>
      <c r="F242" s="4">
        <v>844</v>
      </c>
      <c r="G242" s="4">
        <v>119</v>
      </c>
      <c r="H242" s="4" t="str">
        <f>VLOOKUP(A242,[1]Tatanagar!$E:$N,10,FALSE)</f>
        <v>Ghatsila D-Link Port no. 3</v>
      </c>
      <c r="I242" s="4"/>
      <c r="J242" s="4" t="s">
        <v>271</v>
      </c>
    </row>
    <row r="243" spans="1:10" x14ac:dyDescent="0.25">
      <c r="A243" s="4">
        <v>8114768328</v>
      </c>
      <c r="B243" s="4" t="s">
        <v>247</v>
      </c>
      <c r="C243" s="4"/>
      <c r="D243" s="4" t="s">
        <v>471</v>
      </c>
      <c r="E243" s="4">
        <v>7283000771</v>
      </c>
      <c r="F243" s="4">
        <v>870</v>
      </c>
      <c r="G243" s="4">
        <v>3993</v>
      </c>
      <c r="H243" s="4"/>
      <c r="I243" s="4"/>
      <c r="J243" s="4" t="s">
        <v>264</v>
      </c>
    </row>
    <row r="244" spans="1:10" x14ac:dyDescent="0.25">
      <c r="A244" s="4">
        <v>5754713142</v>
      </c>
      <c r="B244" s="4" t="s">
        <v>248</v>
      </c>
      <c r="C244" s="4"/>
      <c r="D244" s="4" t="s">
        <v>472</v>
      </c>
      <c r="E244" s="4">
        <v>9693830137</v>
      </c>
      <c r="F244" s="4">
        <v>1357</v>
      </c>
      <c r="G244" s="4">
        <v>201</v>
      </c>
      <c r="H244" s="4"/>
      <c r="I244" s="4"/>
      <c r="J244" s="4" t="s">
        <v>271</v>
      </c>
    </row>
    <row r="245" spans="1:10" x14ac:dyDescent="0.25">
      <c r="A245" s="4">
        <v>6642826490</v>
      </c>
      <c r="B245" s="4" t="s">
        <v>249</v>
      </c>
      <c r="C245" s="4" t="str">
        <f>VLOOKUP(A245,[1]Tatanagar!$E:$J,6,FALSE)</f>
        <v>jh.pvn</v>
      </c>
      <c r="D245" s="4" t="s">
        <v>473</v>
      </c>
      <c r="E245" s="4">
        <v>8083832727</v>
      </c>
      <c r="F245" s="4">
        <v>889</v>
      </c>
      <c r="G245" s="4">
        <v>126</v>
      </c>
      <c r="H245" s="4" t="str">
        <f>VLOOKUP(A245,[1]Tatanagar!$E:$N,10,FALSE)</f>
        <v>Chaibasa FIB24/8</v>
      </c>
      <c r="I245" s="4"/>
      <c r="J245" s="4" t="s">
        <v>264</v>
      </c>
    </row>
    <row r="246" spans="1:10" x14ac:dyDescent="0.25">
      <c r="A246" s="4">
        <v>5108081832</v>
      </c>
      <c r="B246" s="4" t="s">
        <v>250</v>
      </c>
      <c r="C246" s="4"/>
      <c r="D246" s="4" t="s">
        <v>472</v>
      </c>
      <c r="E246" s="4">
        <v>8210166635</v>
      </c>
      <c r="F246" s="4">
        <v>1357</v>
      </c>
      <c r="G246" s="4">
        <v>3206</v>
      </c>
      <c r="H246" s="4"/>
      <c r="I246" s="4"/>
      <c r="J246" s="4" t="s">
        <v>271</v>
      </c>
    </row>
    <row r="247" spans="1:10" x14ac:dyDescent="0.25">
      <c r="A247" s="4">
        <v>2389899098</v>
      </c>
      <c r="B247" s="4" t="s">
        <v>251</v>
      </c>
      <c r="C247" s="4" t="str">
        <f>VLOOKUP(A247,[1]Tatanagar!$E:$J,6,FALSE)</f>
        <v>jh.pdnj</v>
      </c>
      <c r="D247" s="4" t="s">
        <v>474</v>
      </c>
      <c r="E247" s="4">
        <v>7004246328</v>
      </c>
      <c r="F247" s="4">
        <v>844</v>
      </c>
      <c r="G247" s="4">
        <v>133</v>
      </c>
      <c r="H247" s="4" t="str">
        <f>VLOOKUP(A247,[1]Tatanagar!$E:$N,10,FALSE)</f>
        <v>JADHUGORA Switch Port no. 28</v>
      </c>
      <c r="I247" s="4"/>
      <c r="J247" s="4" t="s">
        <v>271</v>
      </c>
    </row>
    <row r="248" spans="1:10" x14ac:dyDescent="0.25">
      <c r="A248" s="4">
        <v>2695062234</v>
      </c>
      <c r="B248" s="4" t="s">
        <v>252</v>
      </c>
      <c r="C248" s="4"/>
      <c r="D248" s="4" t="s">
        <v>220</v>
      </c>
      <c r="E248" s="4">
        <v>9304430777</v>
      </c>
      <c r="F248" s="4">
        <v>870</v>
      </c>
      <c r="G248" s="4">
        <v>113</v>
      </c>
      <c r="H248" s="4"/>
      <c r="I248" s="4"/>
      <c r="J248" s="4" t="s">
        <v>264</v>
      </c>
    </row>
    <row r="249" spans="1:10" x14ac:dyDescent="0.25">
      <c r="A249" s="4">
        <v>1860839543</v>
      </c>
      <c r="B249" s="4" t="s">
        <v>253</v>
      </c>
      <c r="C249" s="4" t="str">
        <f>VLOOKUP(A249,[1]Tatanagar!$E:$J,6,FALSE)</f>
        <v>jh.adg / jh.akg</v>
      </c>
      <c r="D249" s="4" t="s">
        <v>475</v>
      </c>
      <c r="E249" s="4">
        <v>9204746016</v>
      </c>
      <c r="F249" s="4">
        <v>844</v>
      </c>
      <c r="G249" s="4">
        <v>3994</v>
      </c>
      <c r="H249" s="4" t="str">
        <f>VLOOKUP(A249,[1]Tatanagar!$E:$N,10,FALSE)</f>
        <v>Dhalbhumgarh Switch Port no. 4</v>
      </c>
      <c r="I249" s="4" t="str">
        <f>VLOOKUP(A249,[1]Tatanagar!$E:$O,11,FALSE)</f>
        <v>Dhalbhumgarh Switch Port 5</v>
      </c>
      <c r="J249" s="4" t="s">
        <v>271</v>
      </c>
    </row>
    <row r="250" spans="1:10" x14ac:dyDescent="0.25">
      <c r="A250" s="4">
        <v>4943636987</v>
      </c>
      <c r="B250" s="4" t="s">
        <v>254</v>
      </c>
      <c r="C250" s="4" t="str">
        <f>VLOOKUP(A250,[1]Tatanagar!$E:$J,6,FALSE)</f>
        <v>jh.dhl</v>
      </c>
      <c r="D250" s="4" t="s">
        <v>476</v>
      </c>
      <c r="E250" s="4">
        <v>7870584019</v>
      </c>
      <c r="F250" s="4">
        <v>832</v>
      </c>
      <c r="G250" s="4">
        <v>3235</v>
      </c>
      <c r="H250" s="4" t="str">
        <f>VLOOKUP(A250,[1]Tatanagar!$E:$N,10,FALSE)</f>
        <v>DVM SW (172.17.249.52) Port no. 5</v>
      </c>
      <c r="I250" s="4"/>
      <c r="J250" s="4" t="s">
        <v>270</v>
      </c>
    </row>
    <row r="251" spans="1:10" x14ac:dyDescent="0.25">
      <c r="A251" s="4">
        <v>4309043662</v>
      </c>
      <c r="B251" s="4" t="s">
        <v>255</v>
      </c>
      <c r="C251" s="4"/>
      <c r="D251" s="4" t="s">
        <v>477</v>
      </c>
      <c r="E251" s="4">
        <v>9234889460</v>
      </c>
      <c r="F251" s="4">
        <v>817</v>
      </c>
      <c r="G251" s="4">
        <v>3908</v>
      </c>
      <c r="H251" s="4"/>
      <c r="I251" s="4"/>
      <c r="J251" s="4" t="s">
        <v>264</v>
      </c>
    </row>
  </sheetData>
  <autoFilter ref="A1:J251" xr:uid="{BF083C59-F580-442E-B6A4-AF176C2AA0E1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</dc:creator>
  <cp:lastModifiedBy>Aman</cp:lastModifiedBy>
  <dcterms:created xsi:type="dcterms:W3CDTF">2025-09-21T20:17:53Z</dcterms:created>
  <dcterms:modified xsi:type="dcterms:W3CDTF">2025-09-21T21:13:14Z</dcterms:modified>
</cp:coreProperties>
</file>